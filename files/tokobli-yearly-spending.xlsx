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5"/>
    <sheet state="visible" name="1. Correlation" sheetId="2" r:id="rId6"/>
    <sheet state="visible" name="2. Iterasi Model" sheetId="3" r:id="rId7"/>
    <sheet state="visible" name="3. Prediction" sheetId="4" r:id="rId8"/>
    <sheet state="visible" name="4. Insight &amp; Recommendation" sheetId="5" r:id="rId9"/>
  </sheets>
  <definedNames/>
  <calcPr/>
</workbook>
</file>

<file path=xl/sharedStrings.xml><?xml version="1.0" encoding="utf-8"?>
<sst xmlns="http://schemas.openxmlformats.org/spreadsheetml/2006/main" count="494" uniqueCount="109">
  <si>
    <t>CASE 3 - Prediksi Potential Yearly Spending Customer Baru</t>
  </si>
  <si>
    <t>Customer Id</t>
  </si>
  <si>
    <t>Sel kuning adalah input. Koefisien ditarik otomatis dari model final pada sheet 2. Iterasi Model.</t>
  </si>
  <si>
    <t>CASE 2 - Regresi Linear Berganda dengan Stepwise Regression (Backward Elimination)</t>
  </si>
  <si>
    <t>Pearson Correlation (CORREL) atas 299 baris data TokoBli.</t>
  </si>
  <si>
    <t>Y = b0 + b1*x1 + b2*x2 + b3*x3 + b4*x4 + b5*x5 + b6*x6</t>
  </si>
  <si>
    <t>Keterangan Variabel</t>
  </si>
  <si>
    <t>Variabel</t>
  </si>
  <si>
    <t>Nilai Customer Baru</t>
  </si>
  <si>
    <t>Koefisien Model Final</t>
  </si>
  <si>
    <t>Gender</t>
  </si>
  <si>
    <t>Kontribusi</t>
  </si>
  <si>
    <t>Age</t>
  </si>
  <si>
    <t>X1  Age</t>
  </si>
  <si>
    <t>Income</t>
  </si>
  <si>
    <t>Tenure</t>
  </si>
  <si>
    <t>Avg. Session Time</t>
  </si>
  <si>
    <t>Total Promo</t>
  </si>
  <si>
    <t>Bounce Rate</t>
  </si>
  <si>
    <t>Yearly Spending</t>
  </si>
  <si>
    <t>Alpha = 0,05. H0 berarti variabel tidak berpengaruh signifikan terhadap Y, H1 berarti berpengaruh signifikan.</t>
  </si>
  <si>
    <t>M</t>
  </si>
  <si>
    <t>X1</t>
  </si>
  <si>
    <t>X2</t>
  </si>
  <si>
    <t>tidak dipakai (tidak signifikan)</t>
  </si>
  <si>
    <t>X3</t>
  </si>
  <si>
    <t>X4</t>
  </si>
  <si>
    <t>X5</t>
  </si>
  <si>
    <t>X6</t>
  </si>
  <si>
    <t>Y</t>
  </si>
  <si>
    <t>Nama</t>
  </si>
  <si>
    <t>X2  Income</t>
  </si>
  <si>
    <t>Correlation Matrix</t>
  </si>
  <si>
    <t>F</t>
  </si>
  <si>
    <t>Iterasi 1</t>
  </si>
  <si>
    <t>Coefficients</t>
  </si>
  <si>
    <t>Standard Error</t>
  </si>
  <si>
    <t>t-Stat</t>
  </si>
  <si>
    <t>P-value</t>
  </si>
  <si>
    <t>Keputusan</t>
  </si>
  <si>
    <t>Kesimpulan</t>
  </si>
  <si>
    <t>Goodness of Fit</t>
  </si>
  <si>
    <t>Nilai</t>
  </si>
  <si>
    <t>df residual</t>
  </si>
  <si>
    <t>Intercept</t>
  </si>
  <si>
    <t>X3  Tenure</t>
  </si>
  <si>
    <t>X4  Avg. Session Time</t>
  </si>
  <si>
    <t>X5  Total Promo</t>
  </si>
  <si>
    <t>X6  Bounce Rate</t>
  </si>
  <si>
    <t>b0  Intercept</t>
  </si>
  <si>
    <t>Prediksi Yearly Spending</t>
  </si>
  <si>
    <t>Rata-rata Yearly Spending seluruh customer</t>
  </si>
  <si>
    <t>Selisih terhadap rata-rata</t>
  </si>
  <si>
    <t>R Square</t>
  </si>
  <si>
    <t>Input diambil dari soal nomor 3: Age 20, Income 20.000.000, Tenure 1, Avg. Session Time 1000, Total Promo 20, Bounce Rate 30.</t>
  </si>
  <si>
    <t>X1 Age tetap ditampilkan agar lengkap, tetapi tidak ikut dihitung karena tidak signifikan pada model final.</t>
  </si>
  <si>
    <t>Hasil: potensi belanja tahunan sekitar Rp10,98 juta, berada di atas rata-rata seluruh customer.</t>
  </si>
  <si>
    <t>Adjusted R Square</t>
  </si>
  <si>
    <t>F-Statistic</t>
  </si>
  <si>
    <t>Significance F</t>
  </si>
  <si>
    <t>CASE 4 - Insight dan Rekomendasi</t>
  </si>
  <si>
    <t>Temuan Utama</t>
  </si>
  <si>
    <t>X4 Avg. Session Time adalah pendorong terkuat belanja tahunan (r = 0,914 dan signifikan di regresi).</t>
  </si>
  <si>
    <t>X5 Total Promo berdampak besar. Satu tambahan promo menaikkan belanja tahunan sekitar Rp136.148.</t>
  </si>
  <si>
    <t>X6 Bounce Rate berdampak negatif. Kenaikan 1 poin menurunkan belanja tahunan sekitar Rp49.209.</t>
  </si>
  <si>
    <t>X3 Tenure signifikan positif, sehingga retensi customer punya nilai ekonomi langsung.</t>
  </si>
  <si>
    <t>X2 Income signifikan tetapi efeknya kecil, dan X1 Age tidak signifikan sehingga segmentasi umur tidak efektif.</t>
  </si>
  <si>
    <t>Rekomendasi</t>
  </si>
  <si>
    <t>Perpanjang durasi sesi lewat personalisasi rekomendasi produk dan pencarian yang lebih relevan. Jadikan Avg. Session Time sebagai KPI utama tim produk.</t>
  </si>
  <si>
    <t>Perbanyak dan pertajam promo seperti bundling dan voucher bertingkat karena dampaknya per unit paling besar.</t>
  </si>
  <si>
    <t>Turunkan Bounce Rate dengan mempercepat loading, memperbaiki landing page, dan menyederhanakan alur checkout.</t>
  </si>
  <si>
    <t>Bangun program loyalitas berbasis tenure dengan benefit bertingkat per tahun keanggotaan.</t>
  </si>
  <si>
    <t>Alokasikan anggaran campaign ke perilaku (sesi, promo, bounce) bukan ke demografi umur.</t>
  </si>
  <si>
    <t>Gunakan model final untuk scoring customer baru seperti pada Case 3 agar tim bisa memprioritaskan customer berpotensi tinggi sejak awal.</t>
  </si>
  <si>
    <t>Observasi</t>
  </si>
  <si>
    <t>Catatan Model</t>
  </si>
  <si>
    <t>Model final memakai 5 variabel dengan Adjusted R Square 0,927 dan lolos uji multikolinearitas. Hasil regresi menunjukkan hubungan, bukan sebab akibat mutlak.</t>
  </si>
  <si>
    <t>Y  Yearly Spending</t>
  </si>
  <si>
    <t>Jumlah X</t>
  </si>
  <si>
    <t>Hasil Iterasi 1: X1 Age punya P-value terbesar yaitu 0,0688 dan berada di atas 0,05, sehingga X1 dikeluarkan lalu model dihitung ulang pada Iterasi 2.</t>
  </si>
  <si>
    <t>Iterasi 2</t>
  </si>
  <si>
    <t>Korelasi Terhadap Yearly Spending (Y)</t>
  </si>
  <si>
    <t>r</t>
  </si>
  <si>
    <t>Kekuatan</t>
  </si>
  <si>
    <t>Arah</t>
  </si>
  <si>
    <t>Insight Korelasi</t>
  </si>
  <si>
    <t>X4 Avg. Session Time paling kuat berhubungan positif dengan Y (r = 0,914). Makin lama sesi, makin besar belanja tahunan.</t>
  </si>
  <si>
    <t>X5 Total Promo kuat positif (r = 0,877) dan X3 Tenure kuat positif (r = 0,715).</t>
  </si>
  <si>
    <t>X6 Bounce Rate kuat negatif (r = -0,863). Makin tinggi bounce, makin kecil belanja tahunan.</t>
  </si>
  <si>
    <t>X2 Income sedang positif (r = 0,527) dan X1 Age paling lemah (r = 0,221).</t>
  </si>
  <si>
    <t>Antar variabel independen terdapat korelasi cukup tinggi (X4 dengan X5 = 0,777 dan X4 dengan X6 = -0,787) sehingga multikolinearitas perlu diuji di tahap regresi.</t>
  </si>
  <si>
    <t>Eskalasi ke regresi: korelasi hanya mengukur keeratan hubungan, bukan besar pengaruh, sehingga analisis dilanjutkan ke regresi berganda pada sheet 2.</t>
  </si>
  <si>
    <t>Hasil Iterasi 2: seluruh variabel memiliki P-value di bawah 0,05 sehingga eliminasi berhenti. Total 2 iterasi dengan 1 kali eliminasi variabel.</t>
  </si>
  <si>
    <t>Uji Multikolinearitas (variabel yang lolos Iterasi 2)</t>
  </si>
  <si>
    <t>Correlation antar variabel independen. Batas: r lebih dari 0,8 atau kurang dari -0,8 berarti bermasalah.</t>
  </si>
  <si>
    <t>Correlation</t>
  </si>
  <si>
    <t>Korelasi tertinggi antar variabel independen adalah -0,794 (X5 dengan X6), masih di bawah batas 0,8.</t>
  </si>
  <si>
    <t>Variance Inflation Factor (VIF). Batas: VIF lebih dari 5 berarti bermasalah.</t>
  </si>
  <si>
    <t>VIF</t>
  </si>
  <si>
    <t>Keterangan</t>
  </si>
  <si>
    <t>Seluruh VIF di bawah 5 (tertinggi 3,78 pada X4), sehingga tidak ada variabel yang perlu dibuang lagi. Model Iterasi 2 menjadi model final.</t>
  </si>
  <si>
    <t>Model Final</t>
  </si>
  <si>
    <t>Y = b0 + b2*x2 + b3*x3 + b4*x4 + b5*x5 + b6*x6</t>
  </si>
  <si>
    <t>Insight Regresi</t>
  </si>
  <si>
    <t>Stepwise berhenti pada iterasi ke-2 dengan satu kali eliminasi yaitu X1 Age.</t>
  </si>
  <si>
    <t>Model final menjelaskan sekitar 92,7 persen variasi Y (Adjusted R Square 0,927) dan signifikan secara keseluruhan.</t>
  </si>
  <si>
    <t>Variabel signifikan: X2 Income, X3 Tenure, X4 Avg. Session Time, X5 Total Promo, dan X6 Bounce Rate.</t>
  </si>
  <si>
    <t>Setiap tambahan 1 satuan X4 menaikkan Y sekitar Rp6.342, setiap tambahan 1 satuan X5 menaikkan Y sekitar Rp136.148, dan setiap kenaikan 1 poin X6 menurunkan Y sekitar Rp49.209.</t>
  </si>
  <si>
    <t>Model lolos uji multikolinearitas sehingga koefisiennya layak diinterpretasikan.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</si>
</sst>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.##"/>
    <numFmt numFmtId="165" formatCode="&quot;Rp&quot;#,##0"/>
    <numFmt numFmtId="166" formatCode="#,##0.0000"/>
    <numFmt numFmtId="167" formatCode="0.000"/>
    <numFmt numFmtId="168" formatCode="0.0000"/>
    <numFmt numFmtId="169" formatCode="0.000000"/>
  </numFmts>
  <fonts count="8">
    <font>
      <sz val="11.0"/>
      <color theme="1"/>
      <name val="Calibri"/>
      <scheme val="minor"/>
    </font>
    <font>
      <b/>
      <sz val="13.0"/>
      <color theme="1"/>
      <name val="Arial"/>
    </font>
    <font>
      <b/>
      <i/>
      <sz val="11.0"/>
      <color theme="1"/>
      <name val="Arial"/>
    </font>
    <font>
      <sz val="11.0"/>
      <color theme="1"/>
      <name val="Arial"/>
    </font>
    <font>
      <b/>
      <sz val="11.0"/>
      <color theme="1"/>
      <name val="Arial"/>
    </font>
    <font>
      <sz val="11.0"/>
      <color rgb="FF0000FF"/>
      <name val="Arial"/>
    </font>
    <font>
      <sz val="11.0"/>
      <color theme="1"/>
      <name val="Calibri"/>
    </font>
    <font>
      <b/>
      <sz val="12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5">
    <border/>
    <border>
      <left/>
      <right/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0" fillId="0" fontId="3" numFmtId="0" xfId="0" applyFont="1"/>
    <xf borderId="0" fillId="0" fontId="4" numFmtId="0" xfId="0" applyFont="1"/>
    <xf borderId="2" fillId="3" fontId="5" numFmtId="164" xfId="0" applyAlignment="1" applyBorder="1" applyFill="1" applyFont="1" applyNumberFormat="1">
      <alignment horizontal="center" vertical="center"/>
    </xf>
    <xf borderId="3" fillId="0" fontId="4" numFmtId="0" xfId="0" applyBorder="1" applyFont="1"/>
    <xf borderId="0" fillId="0" fontId="3" numFmtId="0" xfId="0" applyAlignment="1" applyFont="1">
      <alignment horizontal="center" vertical="center"/>
    </xf>
    <xf borderId="3" fillId="0" fontId="6" numFmtId="0" xfId="0" applyBorder="1" applyFont="1"/>
    <xf borderId="0" fillId="0" fontId="3" numFmtId="3" xfId="0" applyAlignment="1" applyFont="1" applyNumberFormat="1">
      <alignment horizontal="center" vertical="center"/>
    </xf>
    <xf borderId="4" fillId="0" fontId="6" numFmtId="0" xfId="0" applyBorder="1" applyFont="1"/>
    <xf borderId="3" fillId="2" fontId="2" numFmtId="0" xfId="0" applyAlignment="1" applyBorder="1" applyFill="1" applyFont="1">
      <alignment horizontal="center" vertical="center"/>
    </xf>
    <xf borderId="0" fillId="0" fontId="3" numFmtId="165" xfId="0" applyFont="1" applyNumberFormat="1"/>
    <xf borderId="3" fillId="0" fontId="3" numFmtId="0" xfId="0" applyAlignment="1" applyBorder="1" applyFont="1">
      <alignment horizontal="center" vertical="center"/>
    </xf>
    <xf borderId="0" fillId="0" fontId="3" numFmtId="166" xfId="0" applyAlignment="1" applyFont="1" applyNumberFormat="1">
      <alignment horizontal="center" vertical="center"/>
    </xf>
    <xf borderId="0" fillId="0" fontId="3" numFmtId="167" xfId="0" applyAlignment="1" applyFont="1" applyNumberFormat="1">
      <alignment horizontal="center" vertical="center"/>
    </xf>
    <xf borderId="0" fillId="0" fontId="3" numFmtId="168" xfId="0" applyAlignment="1" applyFont="1" applyNumberFormat="1">
      <alignment horizontal="center" vertical="center"/>
    </xf>
    <xf borderId="1" fillId="4" fontId="7" numFmtId="165" xfId="0" applyAlignment="1" applyBorder="1" applyFill="1" applyFont="1" applyNumberFormat="1">
      <alignment horizontal="center" vertical="center"/>
    </xf>
    <xf borderId="0" fillId="0" fontId="3" numFmtId="165" xfId="0" applyAlignment="1" applyFont="1" applyNumberFormat="1">
      <alignment horizontal="center" vertical="center"/>
    </xf>
    <xf borderId="0" fillId="0" fontId="3" numFmtId="4" xfId="0" applyAlignment="1" applyFont="1" applyNumberFormat="1">
      <alignment horizontal="center" vertical="center"/>
    </xf>
    <xf borderId="0" fillId="0" fontId="3" numFmtId="169" xfId="0" applyAlignment="1" applyFont="1" applyNumberFormat="1">
      <alignment horizontal="center" vertical="center"/>
    </xf>
    <xf borderId="0" fillId="0" fontId="3" numFmtId="0" xfId="0" applyAlignment="1" applyFont="1">
      <alignment shrinkToFit="0" vertical="top" wrapText="1"/>
    </xf>
    <xf borderId="0" fillId="0" fontId="3" numFmtId="1" xfId="0" applyAlignment="1" applyFont="1" applyNumberFormat="1">
      <alignment horizontal="center" vertical="center"/>
    </xf>
    <xf borderId="2" fillId="4" fontId="4" numFmtId="0" xfId="0" applyBorder="1" applyFill="1" applyFont="1"/>
  </cellXfs>
  <cellStyles count="1">
    <cellStyle xfId="0" name="Normal" builtinId="0"/>
  </cellStyles>
  <dxfs count="4"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sz val="11.0"/>
        <color rgb="FFFFFFFF"/>
        <name val="Arial"/>
      </font>
      <fill>
        <patternFill patternType="solid">
          <fgColor rgb="FFD9573C"/>
          <bgColor rgb="FFD9573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9" width="16.0"/>
    <col customWidth="1" min="10" max="26" width="8.71"/>
  </cols>
  <sheetData>
    <row r="1" ht="14.25" customHeight="1">
      <c r="A1" s="2" t="s">
        <v>1</v>
      </c>
      <c r="B1" s="2" t="s">
        <v>10</v>
      </c>
      <c r="C1" s="2" t="s">
        <v>12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</row>
    <row r="2" ht="14.25" customHeight="1">
      <c r="A2" s="3">
        <v>100.0</v>
      </c>
      <c r="B2" s="3" t="s">
        <v>21</v>
      </c>
      <c r="C2" s="3">
        <v>30.0</v>
      </c>
      <c r="D2" s="3">
        <v>1.2E7</v>
      </c>
      <c r="E2" s="3">
        <v>10.0</v>
      </c>
      <c r="F2" s="3">
        <v>520.0</v>
      </c>
      <c r="G2" s="3">
        <v>12.0</v>
      </c>
      <c r="H2" s="3">
        <v>56.0</v>
      </c>
      <c r="I2" s="12">
        <v>4000000.0</v>
      </c>
    </row>
    <row r="3" ht="14.25" customHeight="1">
      <c r="A3" s="3">
        <v>101.0</v>
      </c>
      <c r="B3" s="3" t="s">
        <v>33</v>
      </c>
      <c r="C3" s="3">
        <v>30.0</v>
      </c>
      <c r="D3" s="3">
        <v>8600000.0</v>
      </c>
      <c r="E3" s="3">
        <v>7.3</v>
      </c>
      <c r="F3" s="3">
        <v>744.0</v>
      </c>
      <c r="G3" s="3">
        <v>9.46</v>
      </c>
      <c r="H3" s="3">
        <v>57.0</v>
      </c>
      <c r="I3" s="12">
        <v>4300000.0</v>
      </c>
    </row>
    <row r="4" ht="14.25" customHeight="1">
      <c r="A4" s="3">
        <v>102.0</v>
      </c>
      <c r="B4" s="3" t="s">
        <v>21</v>
      </c>
      <c r="C4" s="3">
        <v>30.0</v>
      </c>
      <c r="D4" s="3">
        <v>7200000.0</v>
      </c>
      <c r="E4" s="3">
        <v>2.8</v>
      </c>
      <c r="F4" s="3">
        <v>113.966666666667</v>
      </c>
      <c r="G4" s="3">
        <v>22.0</v>
      </c>
      <c r="H4" s="3">
        <v>40.0</v>
      </c>
      <c r="I4" s="12">
        <v>4800000.0</v>
      </c>
    </row>
    <row r="5" ht="14.25" customHeight="1">
      <c r="A5" s="3">
        <v>103.0</v>
      </c>
      <c r="B5" s="3" t="s">
        <v>33</v>
      </c>
      <c r="C5" s="3">
        <v>30.0</v>
      </c>
      <c r="D5" s="3">
        <v>3.0E7</v>
      </c>
      <c r="E5" s="3">
        <v>8.5</v>
      </c>
      <c r="F5" s="3">
        <v>168.75</v>
      </c>
      <c r="G5" s="3">
        <v>18.0</v>
      </c>
      <c r="H5" s="3">
        <v>37.0</v>
      </c>
      <c r="I5" s="12">
        <v>5500000.0</v>
      </c>
    </row>
    <row r="6" ht="14.25" customHeight="1">
      <c r="A6" s="3">
        <v>104.0</v>
      </c>
      <c r="B6" s="3" t="s">
        <v>21</v>
      </c>
      <c r="C6" s="3">
        <v>20.0</v>
      </c>
      <c r="D6" s="3">
        <v>1.044E7</v>
      </c>
      <c r="E6" s="3">
        <v>13.6</v>
      </c>
      <c r="F6" s="3">
        <v>736.0</v>
      </c>
      <c r="G6" s="3">
        <v>13.5</v>
      </c>
      <c r="H6" s="3">
        <v>36.2</v>
      </c>
      <c r="I6" s="12">
        <v>5800000.0</v>
      </c>
    </row>
    <row r="7" ht="14.25" customHeight="1">
      <c r="A7" s="3">
        <v>105.0</v>
      </c>
      <c r="B7" s="3" t="s">
        <v>33</v>
      </c>
      <c r="C7" s="3">
        <v>20.0</v>
      </c>
      <c r="D7" s="3">
        <v>1.89E7</v>
      </c>
      <c r="E7" s="3">
        <v>9.3</v>
      </c>
      <c r="F7" s="3">
        <v>1104.0</v>
      </c>
      <c r="G7" s="3">
        <v>8.8</v>
      </c>
      <c r="H7" s="3">
        <v>30.7</v>
      </c>
      <c r="I7" s="12">
        <v>6300000.0</v>
      </c>
    </row>
    <row r="8" ht="14.25" customHeight="1">
      <c r="A8" s="3">
        <v>106.0</v>
      </c>
      <c r="B8" s="3" t="s">
        <v>21</v>
      </c>
      <c r="C8" s="3">
        <v>20.0</v>
      </c>
      <c r="D8" s="3">
        <v>1.32E7</v>
      </c>
      <c r="E8" s="3">
        <v>4.6</v>
      </c>
      <c r="F8" s="3">
        <v>160.766666666667</v>
      </c>
      <c r="G8" s="3">
        <v>26.4</v>
      </c>
      <c r="H8" s="3">
        <v>31.0</v>
      </c>
      <c r="I8" s="12">
        <v>6600000.0</v>
      </c>
    </row>
    <row r="9" ht="14.25" customHeight="1">
      <c r="A9" s="3">
        <v>107.0</v>
      </c>
      <c r="B9" s="3" t="s">
        <v>33</v>
      </c>
      <c r="C9" s="3">
        <v>21.3</v>
      </c>
      <c r="D9" s="3">
        <v>1.065E7</v>
      </c>
      <c r="E9" s="3">
        <v>10.1</v>
      </c>
      <c r="F9" s="3">
        <v>211.95</v>
      </c>
      <c r="G9" s="3">
        <v>25.56</v>
      </c>
      <c r="H9" s="3">
        <v>21.9</v>
      </c>
      <c r="I9" s="12">
        <v>7100000.0</v>
      </c>
    </row>
    <row r="10" ht="14.25" customHeight="1">
      <c r="A10" s="3">
        <v>108.0</v>
      </c>
      <c r="B10" s="3" t="s">
        <v>21</v>
      </c>
      <c r="C10" s="3">
        <v>32.6</v>
      </c>
      <c r="D10" s="3">
        <v>1.014E7</v>
      </c>
      <c r="E10" s="3">
        <v>17.6</v>
      </c>
      <c r="F10" s="3">
        <v>976.0</v>
      </c>
      <c r="G10" s="3">
        <v>21.0</v>
      </c>
      <c r="H10" s="3">
        <v>15.0</v>
      </c>
      <c r="I10" s="12">
        <v>7800000.0</v>
      </c>
    </row>
    <row r="11" ht="14.25" customHeight="1">
      <c r="A11" s="3">
        <v>109.0</v>
      </c>
      <c r="B11" s="3" t="s">
        <v>33</v>
      </c>
      <c r="C11" s="3">
        <v>33.6</v>
      </c>
      <c r="D11" s="3">
        <v>1.458E7</v>
      </c>
      <c r="E11" s="3">
        <v>11.1</v>
      </c>
      <c r="F11" s="3">
        <v>1428.0</v>
      </c>
      <c r="G11" s="3">
        <v>16.5</v>
      </c>
      <c r="H11" s="3">
        <v>10.9</v>
      </c>
      <c r="I11" s="12">
        <v>8100000.0</v>
      </c>
    </row>
    <row r="12" ht="14.25" customHeight="1">
      <c r="A12" s="3">
        <v>110.0</v>
      </c>
      <c r="B12" s="3" t="s">
        <v>21</v>
      </c>
      <c r="C12" s="3">
        <v>35.0</v>
      </c>
      <c r="D12" s="3">
        <v>1.32E7</v>
      </c>
      <c r="E12" s="3">
        <v>6.6</v>
      </c>
      <c r="F12" s="3">
        <v>212.766666666667</v>
      </c>
      <c r="G12" s="3">
        <v>34.4</v>
      </c>
      <c r="H12" s="3">
        <v>5.0</v>
      </c>
      <c r="I12" s="12">
        <v>8600000.0</v>
      </c>
    </row>
    <row r="13" ht="14.25" customHeight="1">
      <c r="A13" s="3">
        <v>111.0</v>
      </c>
      <c r="B13" s="3" t="s">
        <v>33</v>
      </c>
      <c r="C13" s="3">
        <v>36.0</v>
      </c>
      <c r="D13" s="3">
        <v>1.065E7</v>
      </c>
      <c r="E13" s="3">
        <v>12.3</v>
      </c>
      <c r="F13" s="3">
        <v>271.35</v>
      </c>
      <c r="G13" s="3">
        <v>33.48</v>
      </c>
      <c r="H13" s="3">
        <v>25.0</v>
      </c>
      <c r="I13" s="12">
        <v>9300000.0</v>
      </c>
    </row>
    <row r="14" ht="14.25" customHeight="1">
      <c r="A14" s="3">
        <v>112.0</v>
      </c>
      <c r="B14" s="3" t="s">
        <v>21</v>
      </c>
      <c r="C14" s="3">
        <v>19.8</v>
      </c>
      <c r="D14" s="3">
        <v>1.89E7</v>
      </c>
      <c r="E14" s="3">
        <v>21.2</v>
      </c>
      <c r="F14" s="3">
        <v>1192.0</v>
      </c>
      <c r="G14" s="3">
        <v>28.8</v>
      </c>
      <c r="H14" s="3">
        <v>25.0</v>
      </c>
      <c r="I14" s="12">
        <v>9600000.0</v>
      </c>
    </row>
    <row r="15" ht="14.25" customHeight="1">
      <c r="A15" s="3">
        <v>113.0</v>
      </c>
      <c r="B15" s="3" t="s">
        <v>33</v>
      </c>
      <c r="C15" s="3">
        <v>21.3</v>
      </c>
      <c r="D15" s="3">
        <v>1.458E7</v>
      </c>
      <c r="E15" s="3">
        <v>13.1</v>
      </c>
      <c r="F15" s="3">
        <v>1788.0</v>
      </c>
      <c r="G15" s="3">
        <v>22.22</v>
      </c>
      <c r="H15" s="3">
        <v>18.9</v>
      </c>
      <c r="I15" s="12">
        <v>1.01E7</v>
      </c>
    </row>
    <row r="16" ht="14.25" customHeight="1">
      <c r="A16" s="3">
        <v>114.0</v>
      </c>
      <c r="B16" s="3" t="s">
        <v>21</v>
      </c>
      <c r="C16" s="3">
        <v>21.6</v>
      </c>
      <c r="D16" s="3">
        <v>1.32E7</v>
      </c>
      <c r="E16" s="3">
        <v>8.8</v>
      </c>
      <c r="F16" s="3">
        <v>269.966666666667</v>
      </c>
      <c r="G16" s="3">
        <v>43.2</v>
      </c>
      <c r="H16" s="3">
        <v>11.2</v>
      </c>
      <c r="I16" s="12">
        <v>1.08E7</v>
      </c>
    </row>
    <row r="17" ht="14.25" customHeight="1">
      <c r="A17" s="3">
        <v>115.0</v>
      </c>
      <c r="B17" s="3" t="s">
        <v>33</v>
      </c>
      <c r="C17" s="3">
        <v>32.6</v>
      </c>
      <c r="D17" s="3">
        <v>1.065E7</v>
      </c>
      <c r="E17" s="3">
        <v>7.0</v>
      </c>
      <c r="F17" s="3">
        <v>128.25</v>
      </c>
      <c r="G17" s="3">
        <v>14.4</v>
      </c>
      <c r="H17" s="3">
        <v>56.0</v>
      </c>
      <c r="I17" s="12">
        <v>4000000.0</v>
      </c>
    </row>
    <row r="18" ht="14.25" customHeight="1">
      <c r="A18" s="3">
        <v>116.0</v>
      </c>
      <c r="B18" s="3" t="s">
        <v>21</v>
      </c>
      <c r="C18" s="3">
        <v>30.0</v>
      </c>
      <c r="D18" s="3">
        <v>8600000.0</v>
      </c>
      <c r="E18" s="3">
        <v>10.6</v>
      </c>
      <c r="F18" s="3">
        <v>278.0</v>
      </c>
      <c r="G18" s="3">
        <v>12.9</v>
      </c>
      <c r="H18" s="3">
        <v>52.7</v>
      </c>
      <c r="I18" s="12">
        <v>4300000.0</v>
      </c>
    </row>
    <row r="19" ht="14.25" customHeight="1">
      <c r="A19" s="3">
        <v>117.0</v>
      </c>
      <c r="B19" s="3" t="s">
        <v>33</v>
      </c>
      <c r="C19" s="3">
        <v>30.0</v>
      </c>
      <c r="D19" s="3">
        <v>3.0E7</v>
      </c>
      <c r="E19" s="3">
        <v>6.0</v>
      </c>
      <c r="F19" s="3">
        <v>170.0</v>
      </c>
      <c r="G19" s="3">
        <v>5.5</v>
      </c>
      <c r="H19" s="3">
        <v>67.0</v>
      </c>
      <c r="I19" s="12">
        <v>3000000.0</v>
      </c>
    </row>
    <row r="20" ht="14.25" customHeight="1">
      <c r="A20" s="3">
        <v>118.0</v>
      </c>
      <c r="B20" s="3" t="s">
        <v>21</v>
      </c>
      <c r="C20" s="3">
        <v>30.0</v>
      </c>
      <c r="D20" s="3">
        <v>1.044E7</v>
      </c>
      <c r="E20" s="3">
        <v>1.3</v>
      </c>
      <c r="F20" s="3">
        <v>224.9</v>
      </c>
      <c r="G20" s="3">
        <v>12.0</v>
      </c>
      <c r="H20" s="3">
        <v>68.0</v>
      </c>
      <c r="I20" s="12">
        <v>3300000.0</v>
      </c>
    </row>
    <row r="21" ht="14.25" customHeight="1">
      <c r="A21" s="3">
        <v>119.0</v>
      </c>
      <c r="B21" s="3" t="s">
        <v>33</v>
      </c>
      <c r="C21" s="3">
        <v>30.0</v>
      </c>
      <c r="D21" s="3">
        <v>1.89E7</v>
      </c>
      <c r="E21" s="3">
        <v>6.8</v>
      </c>
      <c r="F21" s="3">
        <v>245.7</v>
      </c>
      <c r="G21" s="3">
        <v>13.68</v>
      </c>
      <c r="H21" s="3">
        <v>58.2</v>
      </c>
      <c r="I21" s="12">
        <v>3800000.0</v>
      </c>
    </row>
    <row r="22" ht="14.25" customHeight="1">
      <c r="A22" s="3">
        <v>120.0</v>
      </c>
      <c r="B22" s="3" t="s">
        <v>21</v>
      </c>
      <c r="C22" s="3">
        <v>20.0</v>
      </c>
      <c r="D22" s="3">
        <v>1.89E7</v>
      </c>
      <c r="E22" s="3">
        <v>11.0</v>
      </c>
      <c r="F22" s="3">
        <v>290.0</v>
      </c>
      <c r="G22" s="3">
        <v>13.5</v>
      </c>
      <c r="H22" s="3">
        <v>50.5</v>
      </c>
      <c r="I22" s="12">
        <v>4500000.0</v>
      </c>
    </row>
    <row r="23" ht="14.25" customHeight="1">
      <c r="A23" s="3">
        <v>121.0</v>
      </c>
      <c r="B23" s="3" t="s">
        <v>33</v>
      </c>
      <c r="C23" s="3">
        <v>20.0</v>
      </c>
      <c r="D23" s="3">
        <v>1.065E7</v>
      </c>
      <c r="E23" s="3">
        <v>7.8</v>
      </c>
      <c r="F23" s="3">
        <v>278.0</v>
      </c>
      <c r="G23" s="3">
        <v>11.0</v>
      </c>
      <c r="H23" s="3">
        <v>39.0</v>
      </c>
      <c r="I23" s="12">
        <v>4800000.0</v>
      </c>
    </row>
    <row r="24" ht="14.25" customHeight="1">
      <c r="A24" s="3">
        <v>122.0</v>
      </c>
      <c r="B24" s="3" t="s">
        <v>21</v>
      </c>
      <c r="C24" s="3">
        <v>20.0</v>
      </c>
      <c r="D24" s="3">
        <v>7950000.0</v>
      </c>
      <c r="E24" s="3">
        <v>3.3</v>
      </c>
      <c r="F24" s="3">
        <v>380.9</v>
      </c>
      <c r="G24" s="3">
        <v>24.0</v>
      </c>
      <c r="H24" s="3">
        <v>41.0</v>
      </c>
      <c r="I24" s="12">
        <v>5300000.0</v>
      </c>
    </row>
    <row r="25" ht="14.25" customHeight="1">
      <c r="A25" s="3">
        <v>123.0</v>
      </c>
      <c r="B25" s="3" t="s">
        <v>33</v>
      </c>
      <c r="C25" s="3">
        <v>22.0</v>
      </c>
      <c r="D25" s="3">
        <v>1.89E7</v>
      </c>
      <c r="E25" s="3">
        <v>8.6</v>
      </c>
      <c r="F25" s="3">
        <v>342.9</v>
      </c>
      <c r="G25" s="3">
        <v>19.8</v>
      </c>
      <c r="H25" s="3">
        <v>38.4</v>
      </c>
      <c r="I25" s="12">
        <v>5600000.0</v>
      </c>
    </row>
    <row r="26" ht="14.25" customHeight="1">
      <c r="A26" s="3">
        <v>124.0</v>
      </c>
      <c r="B26" s="3" t="s">
        <v>21</v>
      </c>
      <c r="C26" s="3">
        <v>22.0</v>
      </c>
      <c r="D26" s="3">
        <v>1.098E7</v>
      </c>
      <c r="E26" s="3">
        <v>14.2</v>
      </c>
      <c r="F26" s="3">
        <v>386.0</v>
      </c>
      <c r="G26" s="3">
        <v>15.0</v>
      </c>
      <c r="H26" s="3">
        <v>30.0</v>
      </c>
      <c r="I26" s="12">
        <v>6100000.0</v>
      </c>
    </row>
    <row r="27" ht="14.25" customHeight="1">
      <c r="A27" s="3">
        <v>125.0</v>
      </c>
      <c r="B27" s="3" t="s">
        <v>33</v>
      </c>
      <c r="C27" s="3">
        <v>32.6</v>
      </c>
      <c r="D27" s="3">
        <v>2.04E7</v>
      </c>
      <c r="E27" s="3">
        <v>9.8</v>
      </c>
      <c r="F27" s="3">
        <v>398.0</v>
      </c>
      <c r="G27" s="3">
        <v>14.96</v>
      </c>
      <c r="H27" s="3">
        <v>25.0</v>
      </c>
      <c r="I27" s="12">
        <v>6800000.0</v>
      </c>
    </row>
    <row r="28" ht="14.25" customHeight="1">
      <c r="A28" s="3">
        <v>126.0</v>
      </c>
      <c r="B28" s="3" t="s">
        <v>21</v>
      </c>
      <c r="C28" s="3">
        <v>33.6</v>
      </c>
      <c r="D28" s="3">
        <v>1.42E7</v>
      </c>
      <c r="E28" s="3">
        <v>5.1</v>
      </c>
      <c r="F28" s="3">
        <v>521.3</v>
      </c>
      <c r="G28" s="3">
        <v>28.4</v>
      </c>
      <c r="H28" s="3">
        <v>21.9</v>
      </c>
      <c r="I28" s="12">
        <v>7100000.0</v>
      </c>
    </row>
    <row r="29" ht="14.25" customHeight="1">
      <c r="A29" s="3">
        <v>127.0</v>
      </c>
      <c r="B29" s="3" t="s">
        <v>33</v>
      </c>
      <c r="C29" s="3">
        <v>35.0</v>
      </c>
      <c r="D29" s="3">
        <v>1.14E7</v>
      </c>
      <c r="E29" s="3">
        <v>10.6</v>
      </c>
      <c r="F29" s="3">
        <v>450.9</v>
      </c>
      <c r="G29" s="3">
        <v>30.6</v>
      </c>
      <c r="H29" s="3">
        <v>22.0</v>
      </c>
      <c r="I29" s="12">
        <v>7600000.0</v>
      </c>
    </row>
    <row r="30" ht="14.25" customHeight="1">
      <c r="A30" s="3">
        <v>128.0</v>
      </c>
      <c r="B30" s="3" t="s">
        <v>21</v>
      </c>
      <c r="C30" s="3">
        <v>36.0</v>
      </c>
      <c r="D30" s="3">
        <v>1.079E7</v>
      </c>
      <c r="E30" s="3">
        <v>18.6</v>
      </c>
      <c r="F30" s="3">
        <v>518.0</v>
      </c>
      <c r="G30" s="3">
        <v>24.0</v>
      </c>
      <c r="H30" s="3">
        <v>20.0</v>
      </c>
      <c r="I30" s="12">
        <v>8300000.0</v>
      </c>
    </row>
    <row r="31" ht="14.25" customHeight="1">
      <c r="A31" s="3">
        <v>129.0</v>
      </c>
      <c r="B31" s="3" t="s">
        <v>33</v>
      </c>
      <c r="C31" s="3">
        <v>19.8</v>
      </c>
      <c r="D31" s="3">
        <v>1.548E7</v>
      </c>
      <c r="E31" s="3">
        <v>11.6</v>
      </c>
      <c r="F31" s="3">
        <v>506.0</v>
      </c>
      <c r="G31" s="3">
        <v>18.92</v>
      </c>
      <c r="H31" s="3">
        <v>15.0</v>
      </c>
      <c r="I31" s="12">
        <v>8600000.0</v>
      </c>
    </row>
    <row r="32" ht="14.25" customHeight="1">
      <c r="A32" s="3">
        <v>130.0</v>
      </c>
      <c r="B32" s="3" t="s">
        <v>21</v>
      </c>
      <c r="C32" s="3">
        <v>21.3</v>
      </c>
      <c r="D32" s="3">
        <v>2.73E7</v>
      </c>
      <c r="E32" s="3">
        <v>7.1</v>
      </c>
      <c r="F32" s="3">
        <v>677.3</v>
      </c>
      <c r="G32" s="3">
        <v>36.4</v>
      </c>
      <c r="H32" s="3">
        <v>29.9</v>
      </c>
      <c r="I32" s="12">
        <v>9100000.0</v>
      </c>
    </row>
    <row r="33" ht="14.25" customHeight="1">
      <c r="A33" s="3">
        <v>131.0</v>
      </c>
      <c r="B33" s="3" t="s">
        <v>33</v>
      </c>
      <c r="C33" s="3">
        <v>27.9</v>
      </c>
      <c r="D33" s="3">
        <v>1.96E7</v>
      </c>
      <c r="E33" s="3">
        <v>12.8</v>
      </c>
      <c r="F33" s="3">
        <v>569.7</v>
      </c>
      <c r="G33" s="3">
        <v>35.28</v>
      </c>
      <c r="H33" s="3">
        <v>25.0</v>
      </c>
      <c r="I33" s="12">
        <v>9800000.0</v>
      </c>
    </row>
    <row r="34" ht="14.25" customHeight="1">
      <c r="A34" s="3">
        <v>132.0</v>
      </c>
      <c r="B34" s="3" t="s">
        <v>21</v>
      </c>
      <c r="C34" s="3">
        <v>28.8</v>
      </c>
      <c r="D34" s="3">
        <v>1.515E7</v>
      </c>
      <c r="E34" s="3">
        <v>22.2</v>
      </c>
      <c r="F34" s="3">
        <v>626.0</v>
      </c>
      <c r="G34" s="3">
        <v>20.2</v>
      </c>
      <c r="H34" s="3">
        <v>18.9</v>
      </c>
      <c r="I34" s="12">
        <v>1.01E7</v>
      </c>
    </row>
    <row r="35" ht="14.25" customHeight="1">
      <c r="A35" s="3">
        <v>133.0</v>
      </c>
      <c r="B35" s="3" t="s">
        <v>33</v>
      </c>
      <c r="C35" s="3">
        <v>20.2</v>
      </c>
      <c r="D35" s="3">
        <v>1.378E7</v>
      </c>
      <c r="E35" s="3">
        <v>13.6</v>
      </c>
      <c r="F35" s="3">
        <v>626.0</v>
      </c>
      <c r="G35" s="3">
        <v>21.2</v>
      </c>
      <c r="H35" s="3">
        <v>19.5</v>
      </c>
      <c r="I35" s="12">
        <v>1.06E7</v>
      </c>
    </row>
    <row r="36" ht="14.25" customHeight="1">
      <c r="A36" s="3">
        <v>134.0</v>
      </c>
      <c r="B36" s="3" t="s">
        <v>21</v>
      </c>
      <c r="C36" s="3">
        <v>21.6</v>
      </c>
      <c r="D36" s="3">
        <v>1.998E7</v>
      </c>
      <c r="E36" s="3">
        <v>9.1</v>
      </c>
      <c r="F36" s="3">
        <v>833.3</v>
      </c>
      <c r="G36" s="3">
        <v>21.0</v>
      </c>
      <c r="H36" s="3">
        <v>10.0</v>
      </c>
      <c r="I36" s="12">
        <v>1.11E7</v>
      </c>
    </row>
    <row r="37" ht="14.25" customHeight="1">
      <c r="A37" s="3">
        <v>135.0</v>
      </c>
      <c r="B37" s="3" t="s">
        <v>33</v>
      </c>
      <c r="C37" s="3">
        <v>24.0</v>
      </c>
      <c r="D37" s="3">
        <v>3.54E7</v>
      </c>
      <c r="E37" s="3">
        <v>14.8</v>
      </c>
      <c r="F37" s="3">
        <v>677.7</v>
      </c>
      <c r="G37" s="3">
        <v>23.0</v>
      </c>
      <c r="H37" s="3">
        <v>15.0</v>
      </c>
      <c r="I37" s="12">
        <v>1.18E7</v>
      </c>
    </row>
    <row r="38" ht="14.25" customHeight="1">
      <c r="A38" s="3">
        <v>136.0</v>
      </c>
      <c r="B38" s="3" t="s">
        <v>21</v>
      </c>
      <c r="C38" s="3">
        <v>32.6</v>
      </c>
      <c r="D38" s="3">
        <v>3.0E7</v>
      </c>
      <c r="E38" s="3">
        <v>26.2</v>
      </c>
      <c r="F38" s="3">
        <v>746.0</v>
      </c>
      <c r="G38" s="3">
        <v>28.0</v>
      </c>
      <c r="H38" s="3">
        <v>17.0</v>
      </c>
      <c r="I38" s="12">
        <v>1.21E7</v>
      </c>
    </row>
    <row r="39" ht="14.25" customHeight="1">
      <c r="A39" s="3">
        <v>137.0</v>
      </c>
      <c r="B39" s="3" t="s">
        <v>33</v>
      </c>
      <c r="C39" s="3">
        <v>33.6</v>
      </c>
      <c r="D39" s="3">
        <v>1.89E7</v>
      </c>
      <c r="E39" s="3">
        <v>15.6</v>
      </c>
      <c r="F39" s="3">
        <v>746.0</v>
      </c>
      <c r="G39" s="3">
        <v>27.0</v>
      </c>
      <c r="H39" s="3">
        <v>15.0</v>
      </c>
      <c r="I39" s="12">
        <v>1.26E7</v>
      </c>
    </row>
    <row r="40" ht="14.25" customHeight="1">
      <c r="A40" s="3">
        <v>138.0</v>
      </c>
      <c r="B40" s="3" t="s">
        <v>21</v>
      </c>
      <c r="C40" s="3">
        <v>35.0</v>
      </c>
      <c r="D40" s="3">
        <v>1.89E7</v>
      </c>
      <c r="E40" s="3">
        <v>11.3</v>
      </c>
      <c r="F40" s="3">
        <v>1004.9</v>
      </c>
      <c r="G40" s="3">
        <v>25.0</v>
      </c>
      <c r="H40" s="3">
        <v>14.0</v>
      </c>
      <c r="I40" s="12">
        <v>1.33E7</v>
      </c>
    </row>
    <row r="41" ht="14.25" customHeight="1">
      <c r="A41" s="3">
        <v>139.0</v>
      </c>
      <c r="B41" s="3" t="s">
        <v>33</v>
      </c>
      <c r="C41" s="3">
        <v>36.0</v>
      </c>
      <c r="D41" s="3">
        <v>1.32E7</v>
      </c>
      <c r="E41" s="3">
        <v>16.6</v>
      </c>
      <c r="F41" s="3">
        <v>774.9</v>
      </c>
      <c r="G41" s="3">
        <v>23.0</v>
      </c>
      <c r="H41" s="3">
        <v>13.0</v>
      </c>
      <c r="I41" s="12">
        <v>1.36E7</v>
      </c>
    </row>
    <row r="42" ht="14.25" customHeight="1">
      <c r="A42" s="3">
        <v>140.0</v>
      </c>
      <c r="B42" s="3" t="s">
        <v>21</v>
      </c>
      <c r="C42" s="3">
        <v>19.8</v>
      </c>
      <c r="D42" s="3">
        <v>1.065E7</v>
      </c>
      <c r="E42" s="3">
        <v>30.2</v>
      </c>
      <c r="F42" s="3">
        <v>866.0</v>
      </c>
      <c r="G42" s="3">
        <v>28.2</v>
      </c>
      <c r="H42" s="3">
        <v>16.0</v>
      </c>
      <c r="I42" s="12">
        <v>1.41E7</v>
      </c>
    </row>
    <row r="43" ht="14.25" customHeight="1">
      <c r="A43" s="3">
        <v>141.0</v>
      </c>
      <c r="B43" s="3" t="s">
        <v>33</v>
      </c>
      <c r="C43" s="3">
        <v>30.0</v>
      </c>
      <c r="D43" s="3">
        <v>2.96E7</v>
      </c>
      <c r="E43" s="3">
        <v>17.8</v>
      </c>
      <c r="F43" s="3">
        <v>878.0</v>
      </c>
      <c r="G43" s="3">
        <v>29.6</v>
      </c>
      <c r="H43" s="3">
        <v>15.0</v>
      </c>
      <c r="I43" s="12">
        <v>1.48E7</v>
      </c>
    </row>
    <row r="44" ht="14.25" customHeight="1">
      <c r="A44" s="3">
        <v>142.0</v>
      </c>
      <c r="B44" s="3" t="s">
        <v>21</v>
      </c>
      <c r="C44" s="3">
        <v>30.0</v>
      </c>
      <c r="D44" s="3">
        <v>2.295E7</v>
      </c>
      <c r="E44" s="3">
        <v>13.3</v>
      </c>
      <c r="F44" s="3">
        <v>1160.9</v>
      </c>
      <c r="G44" s="3">
        <v>30.6</v>
      </c>
      <c r="H44" s="3">
        <v>5.0</v>
      </c>
      <c r="I44" s="12">
        <v>1.53E7</v>
      </c>
    </row>
    <row r="45" ht="14.25" customHeight="1">
      <c r="A45" s="3">
        <v>143.0</v>
      </c>
      <c r="B45" s="3" t="s">
        <v>33</v>
      </c>
      <c r="C45" s="3">
        <v>30.0</v>
      </c>
      <c r="D45" s="3">
        <v>2.08E7</v>
      </c>
      <c r="E45" s="3">
        <v>19.0</v>
      </c>
      <c r="F45" s="3">
        <v>904.5</v>
      </c>
      <c r="G45" s="3">
        <v>32.0</v>
      </c>
      <c r="H45" s="3">
        <v>5.0</v>
      </c>
      <c r="I45" s="12">
        <v>1.6E7</v>
      </c>
    </row>
    <row r="46" ht="14.25" customHeight="1">
      <c r="A46" s="3">
        <v>144.0</v>
      </c>
      <c r="B46" s="3" t="s">
        <v>21</v>
      </c>
      <c r="C46" s="3">
        <v>30.0</v>
      </c>
      <c r="D46" s="3">
        <v>2.934E7</v>
      </c>
      <c r="E46" s="3">
        <v>34.6</v>
      </c>
      <c r="F46" s="3">
        <v>998.0</v>
      </c>
      <c r="G46" s="3">
        <v>32.6</v>
      </c>
      <c r="H46" s="3">
        <v>5.0</v>
      </c>
      <c r="I46" s="12">
        <v>1.63E7</v>
      </c>
    </row>
    <row r="47" ht="14.25" customHeight="1">
      <c r="A47" s="3">
        <v>145.0</v>
      </c>
      <c r="B47" s="3" t="s">
        <v>33</v>
      </c>
      <c r="C47" s="3">
        <v>20.0</v>
      </c>
      <c r="D47" s="3">
        <v>1.5E7</v>
      </c>
      <c r="E47" s="3">
        <v>19.8</v>
      </c>
      <c r="F47" s="3">
        <v>998.0</v>
      </c>
      <c r="G47" s="3">
        <v>33.6</v>
      </c>
      <c r="H47" s="3">
        <v>5.0</v>
      </c>
      <c r="I47" s="12">
        <v>1.68E7</v>
      </c>
    </row>
    <row r="48" ht="14.25" customHeight="1">
      <c r="A48" s="3">
        <v>146.0</v>
      </c>
      <c r="B48" s="3" t="s">
        <v>21</v>
      </c>
      <c r="C48" s="3">
        <v>20.0</v>
      </c>
      <c r="D48" s="3">
        <v>1.89E7</v>
      </c>
      <c r="E48" s="3">
        <v>15.5</v>
      </c>
      <c r="F48" s="3">
        <v>1332.5</v>
      </c>
      <c r="G48" s="3">
        <v>33.0</v>
      </c>
      <c r="H48" s="3">
        <v>5.0</v>
      </c>
      <c r="I48" s="12">
        <v>1.75E7</v>
      </c>
    </row>
    <row r="49" ht="14.25" customHeight="1">
      <c r="A49" s="3">
        <v>147.0</v>
      </c>
      <c r="B49" s="3" t="s">
        <v>33</v>
      </c>
      <c r="C49" s="3">
        <v>20.0</v>
      </c>
      <c r="D49" s="3">
        <v>2.7E7</v>
      </c>
      <c r="E49" s="3">
        <v>21.0</v>
      </c>
      <c r="F49" s="3">
        <v>1012.5</v>
      </c>
      <c r="G49" s="3">
        <v>30.0</v>
      </c>
      <c r="H49" s="3">
        <v>4.0</v>
      </c>
      <c r="I49" s="12">
        <v>1.8E7</v>
      </c>
    </row>
    <row r="50" ht="14.25" customHeight="1">
      <c r="A50" s="3">
        <v>148.0</v>
      </c>
      <c r="B50" s="3" t="s">
        <v>21</v>
      </c>
      <c r="C50" s="3">
        <v>19.8</v>
      </c>
      <c r="D50" s="3">
        <v>2.431E7</v>
      </c>
      <c r="E50" s="3">
        <v>39.4</v>
      </c>
      <c r="F50" s="3">
        <v>1142.0</v>
      </c>
      <c r="G50" s="3">
        <v>35.0</v>
      </c>
      <c r="H50" s="3">
        <v>4.0</v>
      </c>
      <c r="I50" s="12">
        <v>1.87E7</v>
      </c>
    </row>
    <row r="51" ht="14.25" customHeight="1">
      <c r="A51" s="3">
        <v>149.0</v>
      </c>
      <c r="B51" s="3" t="s">
        <v>33</v>
      </c>
      <c r="C51" s="3">
        <v>21.3</v>
      </c>
      <c r="D51" s="3">
        <v>1.89E7</v>
      </c>
      <c r="E51" s="3">
        <v>22.2</v>
      </c>
      <c r="F51" s="3">
        <v>1142.0</v>
      </c>
      <c r="G51" s="3">
        <v>37.0</v>
      </c>
      <c r="H51" s="3">
        <v>4.0</v>
      </c>
      <c r="I51" s="12">
        <v>1.92E7</v>
      </c>
    </row>
    <row r="52" ht="14.25" customHeight="1">
      <c r="A52" s="3">
        <v>150.0</v>
      </c>
      <c r="B52" s="3" t="s">
        <v>21</v>
      </c>
      <c r="C52" s="3">
        <v>39.8</v>
      </c>
      <c r="D52" s="3">
        <v>1.5E7</v>
      </c>
      <c r="E52" s="3">
        <v>17.9</v>
      </c>
      <c r="F52" s="3">
        <v>1519.7</v>
      </c>
      <c r="G52" s="3">
        <v>38.0</v>
      </c>
      <c r="H52" s="3">
        <v>4.0</v>
      </c>
      <c r="I52" s="12">
        <v>1.99E7</v>
      </c>
    </row>
    <row r="53" ht="14.25" customHeight="1">
      <c r="A53" s="3">
        <v>151.0</v>
      </c>
      <c r="B53" s="3" t="s">
        <v>33</v>
      </c>
      <c r="C53" s="3">
        <v>25.0</v>
      </c>
      <c r="D53" s="3">
        <v>1.5E7</v>
      </c>
      <c r="E53" s="3">
        <v>23.2</v>
      </c>
      <c r="F53" s="3">
        <v>1131.3</v>
      </c>
      <c r="G53" s="3">
        <v>40.4</v>
      </c>
      <c r="H53" s="3">
        <v>4.0</v>
      </c>
      <c r="I53" s="12">
        <v>2.02E7</v>
      </c>
    </row>
    <row r="54" ht="14.25" customHeight="1">
      <c r="A54" s="3">
        <v>152.0</v>
      </c>
      <c r="B54" s="3" t="s">
        <v>21</v>
      </c>
      <c r="C54" s="3">
        <v>21.0</v>
      </c>
      <c r="D54" s="3">
        <v>3000000.0</v>
      </c>
      <c r="E54" s="3">
        <v>4.4</v>
      </c>
      <c r="F54" s="3">
        <v>160.0</v>
      </c>
      <c r="G54" s="3">
        <v>14.0</v>
      </c>
      <c r="H54" s="3">
        <v>80.0</v>
      </c>
      <c r="I54" s="12">
        <v>1200000.0</v>
      </c>
    </row>
    <row r="55" ht="14.25" customHeight="1">
      <c r="A55" s="3">
        <v>153.0</v>
      </c>
      <c r="B55" s="3" t="s">
        <v>33</v>
      </c>
      <c r="C55" s="3">
        <v>21.0</v>
      </c>
      <c r="D55" s="3">
        <v>1.89E7</v>
      </c>
      <c r="E55" s="3">
        <v>4.5</v>
      </c>
      <c r="F55" s="3">
        <v>110.0</v>
      </c>
      <c r="G55" s="3">
        <v>6.3</v>
      </c>
      <c r="H55" s="3">
        <v>80.0</v>
      </c>
      <c r="I55" s="12">
        <v>1500000.0</v>
      </c>
    </row>
    <row r="56" ht="14.25" customHeight="1">
      <c r="A56" s="3">
        <v>154.0</v>
      </c>
      <c r="B56" s="3" t="s">
        <v>21</v>
      </c>
      <c r="C56" s="3">
        <v>21.0</v>
      </c>
      <c r="D56" s="3">
        <v>3.0E7</v>
      </c>
      <c r="E56" s="3">
        <v>3.0</v>
      </c>
      <c r="F56" s="3">
        <v>156.0</v>
      </c>
      <c r="G56" s="3">
        <v>12.0</v>
      </c>
      <c r="H56" s="3">
        <v>78.0</v>
      </c>
      <c r="I56" s="12">
        <v>2000000.0</v>
      </c>
    </row>
    <row r="57" ht="14.25" customHeight="1">
      <c r="A57" s="3">
        <v>155.0</v>
      </c>
      <c r="B57" s="3" t="s">
        <v>33</v>
      </c>
      <c r="C57" s="3">
        <v>25.0</v>
      </c>
      <c r="D57" s="3">
        <v>1.044E7</v>
      </c>
      <c r="E57" s="3">
        <v>5.7</v>
      </c>
      <c r="F57" s="3">
        <v>186.3</v>
      </c>
      <c r="G57" s="3">
        <v>8.0</v>
      </c>
      <c r="H57" s="3">
        <v>70.3</v>
      </c>
      <c r="I57" s="12">
        <v>2700000.0</v>
      </c>
    </row>
    <row r="58" ht="14.25" customHeight="1">
      <c r="A58" s="3">
        <v>156.0</v>
      </c>
      <c r="B58" s="3" t="s">
        <v>21</v>
      </c>
      <c r="C58" s="3">
        <v>19.8</v>
      </c>
      <c r="D58" s="3">
        <v>1.89E7</v>
      </c>
      <c r="E58" s="3">
        <v>8.0</v>
      </c>
      <c r="F58" s="3">
        <v>200.0</v>
      </c>
      <c r="G58" s="3">
        <v>2.7</v>
      </c>
      <c r="H58" s="3">
        <v>67.0</v>
      </c>
      <c r="I58" s="12">
        <v>3000000.0</v>
      </c>
    </row>
    <row r="59" ht="14.25" customHeight="1">
      <c r="A59" s="3">
        <v>157.0</v>
      </c>
      <c r="B59" s="3" t="s">
        <v>33</v>
      </c>
      <c r="C59" s="3">
        <v>21.3</v>
      </c>
      <c r="D59" s="3">
        <v>1.32E7</v>
      </c>
      <c r="E59" s="3">
        <v>6.5</v>
      </c>
      <c r="F59" s="3">
        <v>200.0</v>
      </c>
      <c r="G59" s="3">
        <v>10.5</v>
      </c>
      <c r="H59" s="3">
        <v>61.5</v>
      </c>
      <c r="I59" s="12">
        <v>3500000.0</v>
      </c>
    </row>
    <row r="60" ht="14.25" customHeight="1">
      <c r="A60" s="3">
        <v>158.0</v>
      </c>
      <c r="B60" s="3" t="s">
        <v>21</v>
      </c>
      <c r="C60" s="3">
        <v>23.4</v>
      </c>
      <c r="D60" s="3">
        <v>1.065E7</v>
      </c>
      <c r="E60" s="3">
        <v>1.8</v>
      </c>
      <c r="F60" s="3">
        <v>263.9</v>
      </c>
      <c r="G60" s="3">
        <v>15.2</v>
      </c>
      <c r="H60" s="3">
        <v>58.2</v>
      </c>
      <c r="I60" s="12">
        <v>3800000.0</v>
      </c>
    </row>
    <row r="61" ht="14.25" customHeight="1">
      <c r="A61" s="3">
        <v>159.0</v>
      </c>
      <c r="B61" s="3" t="s">
        <v>33</v>
      </c>
      <c r="C61" s="3">
        <v>24.3</v>
      </c>
      <c r="D61" s="3">
        <v>7740000.0</v>
      </c>
      <c r="E61" s="3">
        <v>7.3</v>
      </c>
      <c r="F61" s="3">
        <v>272.7</v>
      </c>
      <c r="G61" s="3">
        <v>7.74</v>
      </c>
      <c r="H61" s="3">
        <v>52.7</v>
      </c>
      <c r="I61" s="12">
        <v>4300000.0</v>
      </c>
    </row>
    <row r="62" ht="14.25" customHeight="1">
      <c r="A62" s="3">
        <v>160.0</v>
      </c>
      <c r="B62" s="3" t="s">
        <v>21</v>
      </c>
      <c r="C62" s="3">
        <v>25.8</v>
      </c>
      <c r="D62" s="3">
        <v>1.5E7</v>
      </c>
      <c r="E62" s="3">
        <v>12.0</v>
      </c>
      <c r="F62" s="3">
        <v>320.0</v>
      </c>
      <c r="G62" s="3">
        <v>13.5</v>
      </c>
      <c r="H62" s="3">
        <v>38.0</v>
      </c>
      <c r="I62" s="12">
        <v>5000000.0</v>
      </c>
    </row>
    <row r="63" ht="14.25" customHeight="1">
      <c r="A63" s="3">
        <v>161.0</v>
      </c>
      <c r="B63" s="3" t="s">
        <v>33</v>
      </c>
      <c r="C63" s="3">
        <v>27.9</v>
      </c>
      <c r="D63" s="3">
        <v>1.06E7</v>
      </c>
      <c r="E63" s="3">
        <v>8.3</v>
      </c>
      <c r="F63" s="3">
        <v>308.0</v>
      </c>
      <c r="G63" s="3">
        <v>16.0</v>
      </c>
      <c r="H63" s="3">
        <v>35.0</v>
      </c>
      <c r="I63" s="12">
        <v>5300000.0</v>
      </c>
    </row>
    <row r="64" ht="14.25" customHeight="1">
      <c r="A64" s="3">
        <v>162.0</v>
      </c>
      <c r="B64" s="3" t="s">
        <v>21</v>
      </c>
      <c r="C64" s="3">
        <v>28.8</v>
      </c>
      <c r="D64" s="3">
        <v>8700000.0</v>
      </c>
      <c r="E64" s="3">
        <v>3.8</v>
      </c>
      <c r="F64" s="3">
        <v>419.9</v>
      </c>
      <c r="G64" s="3">
        <v>8.1</v>
      </c>
      <c r="H64" s="3">
        <v>36.2</v>
      </c>
      <c r="I64" s="12">
        <v>5800000.0</v>
      </c>
    </row>
    <row r="65" ht="14.25" customHeight="1">
      <c r="A65" s="3">
        <v>163.0</v>
      </c>
      <c r="B65" s="3" t="s">
        <v>33</v>
      </c>
      <c r="C65" s="3">
        <v>20.2</v>
      </c>
      <c r="D65" s="3">
        <v>1.89E7</v>
      </c>
      <c r="E65" s="3">
        <v>9.5</v>
      </c>
      <c r="F65" s="3">
        <v>391.5</v>
      </c>
      <c r="G65" s="3">
        <v>15.0</v>
      </c>
      <c r="H65" s="3">
        <v>28.5</v>
      </c>
      <c r="I65" s="12">
        <v>6500000.0</v>
      </c>
    </row>
    <row r="66" ht="14.25" customHeight="1">
      <c r="A66" s="3">
        <v>164.0</v>
      </c>
      <c r="B66" s="3" t="s">
        <v>21</v>
      </c>
      <c r="C66" s="3">
        <v>21.6</v>
      </c>
      <c r="D66" s="3">
        <v>1.224E7</v>
      </c>
      <c r="E66" s="3">
        <v>15.6</v>
      </c>
      <c r="F66" s="3">
        <v>428.0</v>
      </c>
      <c r="G66" s="3">
        <v>27.2</v>
      </c>
      <c r="H66" s="3">
        <v>25.0</v>
      </c>
      <c r="I66" s="12">
        <v>6800000.0</v>
      </c>
    </row>
    <row r="67" ht="14.25" customHeight="1">
      <c r="A67" s="3">
        <v>165.0</v>
      </c>
      <c r="B67" s="3" t="s">
        <v>33</v>
      </c>
      <c r="C67" s="3">
        <v>24.0</v>
      </c>
      <c r="D67" s="3">
        <v>2.19E7</v>
      </c>
      <c r="E67" s="3">
        <v>10.3</v>
      </c>
      <c r="F67" s="3">
        <v>428.0</v>
      </c>
      <c r="G67" s="3">
        <v>13.14</v>
      </c>
      <c r="H67" s="3">
        <v>19.7</v>
      </c>
      <c r="I67" s="12">
        <v>7300000.0</v>
      </c>
    </row>
    <row r="68" ht="14.25" customHeight="1">
      <c r="A68" s="3">
        <v>166.0</v>
      </c>
      <c r="B68" s="3" t="s">
        <v>21</v>
      </c>
      <c r="C68" s="3">
        <v>27.0</v>
      </c>
      <c r="D68" s="3">
        <v>1.6E7</v>
      </c>
      <c r="E68" s="3">
        <v>6.0</v>
      </c>
      <c r="F68" s="3">
        <v>591.5</v>
      </c>
      <c r="G68" s="3">
        <v>27.0</v>
      </c>
      <c r="H68" s="3">
        <v>15.0</v>
      </c>
      <c r="I68" s="12">
        <v>8000000.0</v>
      </c>
    </row>
    <row r="69" ht="14.25" customHeight="1">
      <c r="A69" s="3">
        <v>167.0</v>
      </c>
      <c r="B69" s="3" t="s">
        <v>33</v>
      </c>
      <c r="C69" s="3">
        <v>27.3</v>
      </c>
      <c r="D69" s="3">
        <v>3.0E7</v>
      </c>
      <c r="E69" s="3">
        <v>11.3</v>
      </c>
      <c r="F69" s="3">
        <v>488.7</v>
      </c>
      <c r="G69" s="3">
        <v>32.0</v>
      </c>
      <c r="H69" s="3">
        <v>8.7</v>
      </c>
      <c r="I69" s="12">
        <v>8300000.0</v>
      </c>
    </row>
    <row r="70" ht="14.25" customHeight="1">
      <c r="A70" s="3">
        <v>168.0</v>
      </c>
      <c r="B70" s="3" t="s">
        <v>21</v>
      </c>
      <c r="C70" s="3">
        <v>29.4</v>
      </c>
      <c r="D70" s="3">
        <v>1.144E7</v>
      </c>
      <c r="E70" s="3">
        <v>19.6</v>
      </c>
      <c r="F70" s="3">
        <v>548.0</v>
      </c>
      <c r="G70" s="3">
        <v>15.84</v>
      </c>
      <c r="H70" s="3">
        <v>15.0</v>
      </c>
      <c r="I70" s="12">
        <v>8800000.0</v>
      </c>
    </row>
    <row r="71" ht="14.25" customHeight="1">
      <c r="A71" s="3">
        <v>169.0</v>
      </c>
      <c r="B71" s="3" t="s">
        <v>33</v>
      </c>
      <c r="C71" s="3">
        <v>24.3</v>
      </c>
      <c r="D71" s="3">
        <v>1.674E7</v>
      </c>
      <c r="E71" s="3">
        <v>12.3</v>
      </c>
      <c r="F71" s="3">
        <v>548.0</v>
      </c>
      <c r="G71" s="3">
        <v>27.9</v>
      </c>
      <c r="H71" s="3">
        <v>25.0</v>
      </c>
      <c r="I71" s="12">
        <v>9300000.0</v>
      </c>
    </row>
    <row r="72" ht="14.25" customHeight="1">
      <c r="A72" s="3">
        <v>170.0</v>
      </c>
      <c r="B72" s="3" t="s">
        <v>21</v>
      </c>
      <c r="C72" s="3">
        <v>30.0</v>
      </c>
      <c r="D72" s="3">
        <v>3.0E7</v>
      </c>
      <c r="E72" s="3">
        <v>8.0</v>
      </c>
      <c r="F72" s="3">
        <v>747.5</v>
      </c>
      <c r="G72" s="3">
        <v>20.0</v>
      </c>
      <c r="H72" s="3">
        <v>20.0</v>
      </c>
      <c r="I72" s="12">
        <v>1.0E7</v>
      </c>
    </row>
    <row r="73" ht="14.25" customHeight="1">
      <c r="A73" s="3">
        <v>171.0</v>
      </c>
      <c r="B73" s="3" t="s">
        <v>33</v>
      </c>
      <c r="C73" s="3">
        <v>30.0</v>
      </c>
      <c r="D73" s="3">
        <v>2.06E7</v>
      </c>
      <c r="E73" s="3">
        <v>13.3</v>
      </c>
      <c r="F73" s="3">
        <v>596.7</v>
      </c>
      <c r="G73" s="3">
        <v>30.9</v>
      </c>
      <c r="H73" s="3">
        <v>15.0</v>
      </c>
      <c r="I73" s="12">
        <v>1.03E7</v>
      </c>
    </row>
    <row r="74" ht="14.25" customHeight="1">
      <c r="A74" s="3">
        <v>172.0</v>
      </c>
      <c r="B74" s="3" t="s">
        <v>21</v>
      </c>
      <c r="C74" s="3">
        <v>30.0</v>
      </c>
      <c r="D74" s="3">
        <v>1.62E7</v>
      </c>
      <c r="E74" s="3">
        <v>23.6</v>
      </c>
      <c r="F74" s="3">
        <v>668.0</v>
      </c>
      <c r="G74" s="3">
        <v>25.92</v>
      </c>
      <c r="H74" s="3">
        <v>11.2</v>
      </c>
      <c r="I74" s="12">
        <v>1.08E7</v>
      </c>
    </row>
    <row r="75" ht="14.25" customHeight="1">
      <c r="A75" s="3">
        <v>173.0</v>
      </c>
      <c r="B75" s="3" t="s">
        <v>33</v>
      </c>
      <c r="C75" s="3">
        <v>30.0</v>
      </c>
      <c r="D75" s="3">
        <v>1.495E7</v>
      </c>
      <c r="E75" s="3">
        <v>14.5</v>
      </c>
      <c r="F75" s="3">
        <v>680.0</v>
      </c>
      <c r="G75" s="3">
        <v>28.6</v>
      </c>
      <c r="H75" s="3">
        <v>15.0</v>
      </c>
      <c r="I75" s="12">
        <v>1.15E7</v>
      </c>
    </row>
    <row r="76" ht="14.25" customHeight="1">
      <c r="A76" s="3">
        <v>174.0</v>
      </c>
      <c r="B76" s="3" t="s">
        <v>21</v>
      </c>
      <c r="C76" s="3">
        <v>20.0</v>
      </c>
      <c r="D76" s="3">
        <v>2.124E7</v>
      </c>
      <c r="E76" s="3">
        <v>9.8</v>
      </c>
      <c r="F76" s="3">
        <v>887.9</v>
      </c>
      <c r="G76" s="3">
        <v>30.0</v>
      </c>
      <c r="H76" s="3">
        <v>15.0</v>
      </c>
      <c r="I76" s="12">
        <v>1.18E7</v>
      </c>
    </row>
    <row r="77" ht="14.25" customHeight="1">
      <c r="A77" s="3">
        <v>175.0</v>
      </c>
      <c r="B77" s="3" t="s">
        <v>33</v>
      </c>
      <c r="C77" s="3">
        <v>20.0</v>
      </c>
      <c r="D77" s="3">
        <v>3.69E7</v>
      </c>
      <c r="E77" s="3">
        <v>15.3</v>
      </c>
      <c r="F77" s="3">
        <v>704.7</v>
      </c>
      <c r="G77" s="3">
        <v>22.8</v>
      </c>
      <c r="H77" s="3">
        <v>15.0</v>
      </c>
      <c r="I77" s="12">
        <v>1.23E7</v>
      </c>
    </row>
    <row r="78" ht="14.25" customHeight="1">
      <c r="A78" s="3">
        <v>176.0</v>
      </c>
      <c r="B78" s="3" t="s">
        <v>21</v>
      </c>
      <c r="C78" s="3">
        <v>20.0</v>
      </c>
      <c r="D78" s="3">
        <v>2.6E7</v>
      </c>
      <c r="E78" s="3">
        <v>28.0</v>
      </c>
      <c r="F78" s="3">
        <v>800.0</v>
      </c>
      <c r="G78" s="3">
        <v>37.7</v>
      </c>
      <c r="H78" s="3">
        <v>5.0</v>
      </c>
      <c r="I78" s="12">
        <v>1.3E7</v>
      </c>
    </row>
    <row r="79" ht="14.25" customHeight="1">
      <c r="A79" s="3">
        <v>177.0</v>
      </c>
      <c r="B79" s="3" t="s">
        <v>33</v>
      </c>
      <c r="C79" s="3">
        <v>22.0</v>
      </c>
      <c r="D79" s="3">
        <v>2.025E7</v>
      </c>
      <c r="E79" s="3">
        <v>16.5</v>
      </c>
      <c r="F79" s="3">
        <v>800.0</v>
      </c>
      <c r="G79" s="3">
        <v>45.0</v>
      </c>
      <c r="H79" s="3">
        <v>15.0</v>
      </c>
      <c r="I79" s="12">
        <v>1.35E7</v>
      </c>
    </row>
    <row r="80" ht="14.25" customHeight="1">
      <c r="A80" s="3">
        <v>178.0</v>
      </c>
      <c r="B80" s="3" t="s">
        <v>21</v>
      </c>
      <c r="C80" s="3">
        <v>20.4</v>
      </c>
      <c r="D80" s="3">
        <v>1.846E7</v>
      </c>
      <c r="E80" s="3">
        <v>12.2</v>
      </c>
      <c r="F80" s="3">
        <v>1075.1</v>
      </c>
      <c r="G80" s="3">
        <v>34.08</v>
      </c>
      <c r="H80" s="3">
        <v>8.80000000000001</v>
      </c>
      <c r="I80" s="12">
        <v>1.42E7</v>
      </c>
    </row>
    <row r="81" ht="14.25" customHeight="1">
      <c r="A81" s="3">
        <v>179.0</v>
      </c>
      <c r="B81" s="3" t="s">
        <v>33</v>
      </c>
      <c r="C81" s="3">
        <v>21.3</v>
      </c>
      <c r="D81" s="3">
        <v>2.61E7</v>
      </c>
      <c r="E81" s="3">
        <v>17.5</v>
      </c>
      <c r="F81" s="3">
        <v>823.5</v>
      </c>
      <c r="G81" s="3">
        <v>37.7</v>
      </c>
      <c r="H81" s="3">
        <v>5.0</v>
      </c>
      <c r="I81" s="12">
        <v>1.45E7</v>
      </c>
    </row>
    <row r="82" ht="14.25" customHeight="1">
      <c r="A82" s="3">
        <v>180.0</v>
      </c>
      <c r="B82" s="3" t="s">
        <v>21</v>
      </c>
      <c r="C82" s="3">
        <v>30.0</v>
      </c>
      <c r="D82" s="3">
        <v>1.5E7</v>
      </c>
      <c r="E82" s="3">
        <v>32.0</v>
      </c>
      <c r="F82" s="3">
        <v>920.0</v>
      </c>
      <c r="G82" s="3">
        <v>45.0</v>
      </c>
      <c r="H82" s="3">
        <v>15.0</v>
      </c>
      <c r="I82" s="12">
        <v>1.5E7</v>
      </c>
    </row>
    <row r="83" ht="14.25" customHeight="1">
      <c r="A83" s="3">
        <v>181.0</v>
      </c>
      <c r="B83" s="3" t="s">
        <v>33</v>
      </c>
      <c r="C83" s="3">
        <v>30.0</v>
      </c>
      <c r="D83" s="3">
        <v>3.14E7</v>
      </c>
      <c r="E83" s="3">
        <v>18.7</v>
      </c>
      <c r="F83" s="3">
        <v>932.0</v>
      </c>
      <c r="G83" s="3">
        <v>37.68</v>
      </c>
      <c r="H83" s="3">
        <v>15.0</v>
      </c>
      <c r="I83" s="12">
        <v>1.57E7</v>
      </c>
    </row>
    <row r="84" ht="14.25" customHeight="1">
      <c r="A84" s="3">
        <v>182.0</v>
      </c>
      <c r="B84" s="3" t="s">
        <v>21</v>
      </c>
      <c r="C84" s="3">
        <v>30.0</v>
      </c>
      <c r="D84" s="3">
        <v>2.43E7</v>
      </c>
      <c r="E84" s="3">
        <v>14.2</v>
      </c>
      <c r="F84" s="3">
        <v>1231.1</v>
      </c>
      <c r="G84" s="3">
        <v>42.12</v>
      </c>
      <c r="H84" s="3">
        <v>5.0</v>
      </c>
      <c r="I84" s="12">
        <v>1.62E7</v>
      </c>
    </row>
    <row r="85" ht="14.25" customHeight="1">
      <c r="A85" s="3">
        <v>183.0</v>
      </c>
      <c r="B85" s="3" t="s">
        <v>33</v>
      </c>
      <c r="C85" s="3">
        <v>30.0</v>
      </c>
      <c r="D85" s="3">
        <v>1.89E7</v>
      </c>
      <c r="E85" s="3">
        <v>19.9</v>
      </c>
      <c r="F85" s="3">
        <v>953.1</v>
      </c>
      <c r="G85" s="3">
        <v>50.7</v>
      </c>
      <c r="H85" s="3">
        <v>5.0</v>
      </c>
      <c r="I85" s="12">
        <v>1.69E7</v>
      </c>
    </row>
    <row r="86" ht="14.25" customHeight="1">
      <c r="A86" s="3">
        <v>184.0</v>
      </c>
      <c r="B86" s="3" t="s">
        <v>21</v>
      </c>
      <c r="C86" s="3">
        <v>20.0</v>
      </c>
      <c r="D86" s="3">
        <v>3.132E7</v>
      </c>
      <c r="E86" s="3">
        <v>36.8</v>
      </c>
      <c r="F86" s="3">
        <v>1064.0</v>
      </c>
      <c r="G86" s="3">
        <v>41.76</v>
      </c>
      <c r="H86" s="3">
        <v>5.0</v>
      </c>
      <c r="I86" s="12">
        <v>1.74E7</v>
      </c>
    </row>
    <row r="87" ht="14.25" customHeight="1">
      <c r="A87" s="3">
        <v>185.0</v>
      </c>
      <c r="B87" s="3" t="s">
        <v>33</v>
      </c>
      <c r="C87" s="3">
        <v>20.0</v>
      </c>
      <c r="D87" s="3">
        <v>1.5E7</v>
      </c>
      <c r="E87" s="3">
        <v>21.1</v>
      </c>
      <c r="F87" s="3">
        <v>1076.0</v>
      </c>
      <c r="G87" s="3">
        <v>41.6</v>
      </c>
      <c r="H87" s="3">
        <v>5.0</v>
      </c>
      <c r="I87" s="12">
        <v>1.81E7</v>
      </c>
    </row>
    <row r="88" ht="14.25" customHeight="1">
      <c r="A88" s="3">
        <v>186.0</v>
      </c>
      <c r="B88" s="3" t="s">
        <v>21</v>
      </c>
      <c r="C88" s="3">
        <v>20.0</v>
      </c>
      <c r="D88" s="3">
        <v>3.68E7</v>
      </c>
      <c r="E88" s="3">
        <v>16.4</v>
      </c>
      <c r="F88" s="3">
        <v>1402.7</v>
      </c>
      <c r="G88" s="3">
        <v>31.0</v>
      </c>
      <c r="H88" s="3">
        <v>4.0</v>
      </c>
      <c r="I88" s="12">
        <v>1.84E7</v>
      </c>
    </row>
    <row r="89" ht="14.25" customHeight="1">
      <c r="A89" s="3">
        <v>187.0</v>
      </c>
      <c r="B89" s="3" t="s">
        <v>33</v>
      </c>
      <c r="C89" s="3">
        <v>30.6</v>
      </c>
      <c r="D89" s="3">
        <v>1.89E7</v>
      </c>
      <c r="E89" s="3">
        <v>8.0</v>
      </c>
      <c r="F89" s="3">
        <v>157.5</v>
      </c>
      <c r="G89" s="3">
        <v>5.0</v>
      </c>
      <c r="H89" s="3">
        <v>88.0</v>
      </c>
      <c r="I89" s="12">
        <v>800000.0</v>
      </c>
    </row>
    <row r="90" ht="14.25" customHeight="1">
      <c r="A90" s="3">
        <v>188.0</v>
      </c>
      <c r="B90" s="3" t="s">
        <v>21</v>
      </c>
      <c r="C90" s="3">
        <v>32.0</v>
      </c>
      <c r="D90" s="3">
        <v>3000000.0</v>
      </c>
      <c r="E90" s="3">
        <v>4.2</v>
      </c>
      <c r="F90" s="3">
        <v>160.0</v>
      </c>
      <c r="G90" s="3">
        <v>6.0</v>
      </c>
      <c r="H90" s="3">
        <v>75.0</v>
      </c>
      <c r="I90" s="12">
        <v>1100000.0</v>
      </c>
    </row>
    <row r="91" ht="14.25" customHeight="1">
      <c r="A91" s="3">
        <v>189.0</v>
      </c>
      <c r="B91" s="3" t="s">
        <v>33</v>
      </c>
      <c r="C91" s="3">
        <v>32.6</v>
      </c>
      <c r="D91" s="3">
        <v>3.0E7</v>
      </c>
      <c r="E91" s="3">
        <v>4.6</v>
      </c>
      <c r="F91" s="3">
        <v>110.0</v>
      </c>
      <c r="G91" s="3">
        <v>7.0</v>
      </c>
      <c r="H91" s="3">
        <v>83.0</v>
      </c>
      <c r="I91" s="12">
        <v>1600000.0</v>
      </c>
    </row>
    <row r="92" ht="14.25" customHeight="1">
      <c r="A92" s="3">
        <v>190.0</v>
      </c>
      <c r="B92" s="3" t="s">
        <v>21</v>
      </c>
      <c r="C92" s="3">
        <v>33.6</v>
      </c>
      <c r="D92" s="3">
        <v>1.044E7</v>
      </c>
      <c r="E92" s="3">
        <v>4.0</v>
      </c>
      <c r="F92" s="3">
        <v>156.0</v>
      </c>
      <c r="G92" s="3">
        <v>8.0</v>
      </c>
      <c r="H92" s="3">
        <v>74.7</v>
      </c>
      <c r="I92" s="12">
        <v>2300000.0</v>
      </c>
    </row>
    <row r="93" ht="14.25" customHeight="1">
      <c r="A93" s="3">
        <v>191.0</v>
      </c>
      <c r="B93" s="3" t="s">
        <v>33</v>
      </c>
      <c r="C93" s="3">
        <v>35.0</v>
      </c>
      <c r="D93" s="3">
        <v>1.89E7</v>
      </c>
      <c r="E93" s="3">
        <v>5.6</v>
      </c>
      <c r="F93" s="3">
        <v>180.9</v>
      </c>
      <c r="G93" s="3">
        <v>4.0</v>
      </c>
      <c r="H93" s="3">
        <v>71.4</v>
      </c>
      <c r="I93" s="12">
        <v>2600000.0</v>
      </c>
    </row>
    <row r="94" ht="14.25" customHeight="1">
      <c r="A94" s="3">
        <v>192.0</v>
      </c>
      <c r="B94" s="3" t="s">
        <v>21</v>
      </c>
      <c r="C94" s="3">
        <v>36.0</v>
      </c>
      <c r="D94" s="3">
        <v>1.32E7</v>
      </c>
      <c r="E94" s="3">
        <v>8.2</v>
      </c>
      <c r="F94" s="3">
        <v>206.0</v>
      </c>
      <c r="G94" s="3">
        <v>3.0</v>
      </c>
      <c r="H94" s="3">
        <v>65.9</v>
      </c>
      <c r="I94" s="12">
        <v>3100000.0</v>
      </c>
    </row>
    <row r="95" ht="14.25" customHeight="1">
      <c r="A95" s="3">
        <v>193.0</v>
      </c>
      <c r="B95" s="3" t="s">
        <v>33</v>
      </c>
      <c r="C95" s="3">
        <v>24.0</v>
      </c>
      <c r="D95" s="3">
        <v>1.065E7</v>
      </c>
      <c r="E95" s="3">
        <v>4.8</v>
      </c>
      <c r="F95" s="3">
        <v>194.0</v>
      </c>
      <c r="G95" s="3">
        <v>6.8</v>
      </c>
      <c r="H95" s="3">
        <v>62.6</v>
      </c>
      <c r="I95" s="12">
        <v>3400000.0</v>
      </c>
    </row>
    <row r="96" ht="14.25" customHeight="1">
      <c r="A96" s="3">
        <v>194.0</v>
      </c>
      <c r="B96" s="3" t="s">
        <v>21</v>
      </c>
      <c r="C96" s="3">
        <v>24.0</v>
      </c>
      <c r="D96" s="3">
        <v>7020000.0</v>
      </c>
      <c r="E96" s="3">
        <v>9.9</v>
      </c>
      <c r="F96" s="3">
        <v>271.7</v>
      </c>
      <c r="G96" s="3">
        <v>7.8</v>
      </c>
      <c r="H96" s="3">
        <v>57.1</v>
      </c>
      <c r="I96" s="12">
        <v>3900000.0</v>
      </c>
    </row>
    <row r="97" ht="14.25" customHeight="1">
      <c r="A97" s="3">
        <v>195.0</v>
      </c>
      <c r="B97" s="3" t="s">
        <v>33</v>
      </c>
      <c r="C97" s="3">
        <v>22.0</v>
      </c>
      <c r="D97" s="3">
        <v>1.38E7</v>
      </c>
      <c r="E97" s="3">
        <v>2.0</v>
      </c>
      <c r="F97" s="3">
        <v>288.9</v>
      </c>
      <c r="G97" s="3">
        <v>12.0</v>
      </c>
      <c r="H97" s="3">
        <v>43.0</v>
      </c>
      <c r="I97" s="12">
        <v>4600000.0</v>
      </c>
    </row>
    <row r="98" ht="14.25" customHeight="1">
      <c r="A98" s="3">
        <v>196.0</v>
      </c>
      <c r="B98" s="3" t="s">
        <v>21</v>
      </c>
      <c r="C98" s="3">
        <v>20.4</v>
      </c>
      <c r="D98" s="3">
        <v>9800000.0</v>
      </c>
      <c r="E98" s="3">
        <v>10.9</v>
      </c>
      <c r="F98" s="3">
        <v>314.0</v>
      </c>
      <c r="G98" s="3">
        <v>11.0</v>
      </c>
      <c r="H98" s="3">
        <v>45.0</v>
      </c>
      <c r="I98" s="12">
        <v>4900000.0</v>
      </c>
    </row>
    <row r="99" ht="14.25" customHeight="1">
      <c r="A99" s="3">
        <v>197.0</v>
      </c>
      <c r="B99" s="3" t="s">
        <v>33</v>
      </c>
      <c r="C99" s="3">
        <v>19.8</v>
      </c>
      <c r="D99" s="3">
        <v>3.0E7</v>
      </c>
      <c r="E99" s="3">
        <v>8.8</v>
      </c>
      <c r="F99" s="3">
        <v>314.0</v>
      </c>
      <c r="G99" s="3">
        <v>10.0</v>
      </c>
      <c r="H99" s="3">
        <v>42.0</v>
      </c>
      <c r="I99" s="12">
        <v>5400000.0</v>
      </c>
    </row>
    <row r="100" ht="14.25" customHeight="1">
      <c r="A100" s="3">
        <v>198.0</v>
      </c>
      <c r="B100" s="3" t="s">
        <v>21</v>
      </c>
      <c r="C100" s="3">
        <v>21.3</v>
      </c>
      <c r="D100" s="3">
        <v>7930000.0</v>
      </c>
      <c r="E100" s="3">
        <v>12.1</v>
      </c>
      <c r="F100" s="3">
        <v>443.3</v>
      </c>
      <c r="G100" s="3">
        <v>9.0</v>
      </c>
      <c r="H100" s="3">
        <v>30.0</v>
      </c>
      <c r="I100" s="12">
        <v>6100000.0</v>
      </c>
    </row>
    <row r="101" ht="14.25" customHeight="1">
      <c r="A101" s="3">
        <v>199.0</v>
      </c>
      <c r="B101" s="3" t="s">
        <v>33</v>
      </c>
      <c r="C101" s="3">
        <v>23.4</v>
      </c>
      <c r="D101" s="3">
        <v>1.152E7</v>
      </c>
      <c r="E101" s="3">
        <v>1.0</v>
      </c>
      <c r="F101" s="3">
        <v>386.1</v>
      </c>
      <c r="G101" s="3">
        <v>8.0</v>
      </c>
      <c r="H101" s="3">
        <v>29.6</v>
      </c>
      <c r="I101" s="12">
        <v>6400000.0</v>
      </c>
    </row>
    <row r="102" ht="14.25" customHeight="1">
      <c r="A102" s="3">
        <v>200.0</v>
      </c>
      <c r="B102" s="3" t="s">
        <v>21</v>
      </c>
      <c r="C102" s="3">
        <v>24.3</v>
      </c>
      <c r="D102" s="3">
        <v>2.07E7</v>
      </c>
      <c r="E102" s="3">
        <v>12.9</v>
      </c>
      <c r="F102" s="3">
        <v>434.0</v>
      </c>
      <c r="G102" s="3">
        <v>13.8</v>
      </c>
      <c r="H102" s="3">
        <v>25.0</v>
      </c>
      <c r="I102" s="12">
        <v>6900000.0</v>
      </c>
    </row>
    <row r="103" ht="14.25" customHeight="1">
      <c r="A103" s="3">
        <v>201.0</v>
      </c>
      <c r="B103" s="3" t="s">
        <v>33</v>
      </c>
      <c r="C103" s="3">
        <v>25.8</v>
      </c>
      <c r="D103" s="3">
        <v>1.52E7</v>
      </c>
      <c r="E103" s="3">
        <v>13.2</v>
      </c>
      <c r="F103" s="3">
        <v>446.0</v>
      </c>
      <c r="G103" s="3">
        <v>15.0</v>
      </c>
      <c r="H103" s="3">
        <v>15.0</v>
      </c>
      <c r="I103" s="12">
        <v>7600000.0</v>
      </c>
    </row>
    <row r="104" ht="14.25" customHeight="1">
      <c r="A104" s="3">
        <v>202.0</v>
      </c>
      <c r="B104" s="3" t="s">
        <v>21</v>
      </c>
      <c r="C104" s="3">
        <v>27.9</v>
      </c>
      <c r="D104" s="3">
        <v>1.185E7</v>
      </c>
      <c r="E104" s="3">
        <v>13.9</v>
      </c>
      <c r="F104" s="3">
        <v>583.7</v>
      </c>
      <c r="G104" s="3">
        <v>13.0</v>
      </c>
      <c r="H104" s="3">
        <v>15.0</v>
      </c>
      <c r="I104" s="12">
        <v>7900000.0</v>
      </c>
    </row>
    <row r="105" ht="14.25" customHeight="1">
      <c r="A105" s="3">
        <v>203.0</v>
      </c>
      <c r="B105" s="3" t="s">
        <v>33</v>
      </c>
      <c r="C105" s="3">
        <v>28.8</v>
      </c>
      <c r="D105" s="3">
        <v>1.092E7</v>
      </c>
      <c r="E105" s="3">
        <v>2.4</v>
      </c>
      <c r="F105" s="3">
        <v>494.1</v>
      </c>
      <c r="G105" s="3">
        <v>14.0</v>
      </c>
      <c r="H105" s="3">
        <v>5.0</v>
      </c>
      <c r="I105" s="12">
        <v>8400000.0</v>
      </c>
    </row>
    <row r="106" ht="14.25" customHeight="1">
      <c r="A106" s="3">
        <v>204.0</v>
      </c>
      <c r="B106" s="3" t="s">
        <v>21</v>
      </c>
      <c r="C106" s="3">
        <v>20.2</v>
      </c>
      <c r="D106" s="3">
        <v>1.602E7</v>
      </c>
      <c r="E106" s="3">
        <v>14.9</v>
      </c>
      <c r="F106" s="3">
        <v>554.0</v>
      </c>
      <c r="G106" s="3">
        <v>17.8</v>
      </c>
      <c r="H106" s="3">
        <v>15.0</v>
      </c>
      <c r="I106" s="12">
        <v>8900000.0</v>
      </c>
    </row>
    <row r="107" ht="14.25" customHeight="1">
      <c r="A107" s="3">
        <v>205.0</v>
      </c>
      <c r="B107" s="3" t="s">
        <v>33</v>
      </c>
      <c r="C107" s="3">
        <v>21.6</v>
      </c>
      <c r="D107" s="3">
        <v>2.88E7</v>
      </c>
      <c r="E107" s="3">
        <v>17.2</v>
      </c>
      <c r="F107" s="3">
        <v>566.0</v>
      </c>
      <c r="G107" s="3">
        <v>19.2</v>
      </c>
      <c r="H107" s="3">
        <v>25.0</v>
      </c>
      <c r="I107" s="12">
        <v>9600000.0</v>
      </c>
    </row>
    <row r="108" ht="14.25" customHeight="1">
      <c r="A108" s="3">
        <v>206.0</v>
      </c>
      <c r="B108" s="3" t="s">
        <v>21</v>
      </c>
      <c r="C108" s="3">
        <v>24.0</v>
      </c>
      <c r="D108" s="3">
        <v>1.98E7</v>
      </c>
      <c r="E108" s="3">
        <v>15.9</v>
      </c>
      <c r="F108" s="3">
        <v>739.7</v>
      </c>
      <c r="G108" s="3">
        <v>19.8</v>
      </c>
      <c r="H108" s="3">
        <v>21.1</v>
      </c>
      <c r="I108" s="12">
        <v>9900000.0</v>
      </c>
    </row>
    <row r="109" ht="14.25" customHeight="1">
      <c r="A109" s="3">
        <v>207.0</v>
      </c>
      <c r="B109" s="3" t="s">
        <v>33</v>
      </c>
      <c r="C109" s="3">
        <v>27.0</v>
      </c>
      <c r="D109" s="3">
        <v>1.56E7</v>
      </c>
      <c r="E109" s="3">
        <v>4.4</v>
      </c>
      <c r="F109" s="3">
        <v>602.1</v>
      </c>
      <c r="G109" s="3">
        <v>20.8</v>
      </c>
      <c r="H109" s="3">
        <v>15.0</v>
      </c>
      <c r="I109" s="12">
        <v>1.04E7</v>
      </c>
    </row>
    <row r="110" ht="14.25" customHeight="1">
      <c r="A110" s="3">
        <v>208.0</v>
      </c>
      <c r="B110" s="3" t="s">
        <v>21</v>
      </c>
      <c r="C110" s="3">
        <v>24.3</v>
      </c>
      <c r="D110" s="3">
        <v>1.443E7</v>
      </c>
      <c r="E110" s="3">
        <v>17.1</v>
      </c>
      <c r="F110" s="3">
        <v>686.0</v>
      </c>
      <c r="G110" s="3">
        <v>27.0</v>
      </c>
      <c r="H110" s="3">
        <v>5.0</v>
      </c>
      <c r="I110" s="12">
        <v>1.11E7</v>
      </c>
    </row>
    <row r="111" ht="14.25" customHeight="1">
      <c r="A111" s="3">
        <v>209.0</v>
      </c>
      <c r="B111" s="3" t="s">
        <v>33</v>
      </c>
      <c r="C111" s="3">
        <v>25.8</v>
      </c>
      <c r="D111" s="3">
        <v>2.052E7</v>
      </c>
      <c r="E111" s="3">
        <v>20.8</v>
      </c>
      <c r="F111" s="3">
        <v>674.0</v>
      </c>
      <c r="G111" s="3">
        <v>28.0</v>
      </c>
      <c r="H111" s="3">
        <v>15.0</v>
      </c>
      <c r="I111" s="12">
        <v>1.14E7</v>
      </c>
    </row>
    <row r="112" ht="14.25" customHeight="1">
      <c r="A112" s="3">
        <v>210.0</v>
      </c>
      <c r="B112" s="3" t="s">
        <v>21</v>
      </c>
      <c r="C112" s="3">
        <v>27.9</v>
      </c>
      <c r="D112" s="3">
        <v>3.57E7</v>
      </c>
      <c r="E112" s="3">
        <v>17.9</v>
      </c>
      <c r="F112" s="3">
        <v>895.7</v>
      </c>
      <c r="G112" s="3">
        <v>21.0</v>
      </c>
      <c r="H112" s="3">
        <v>19.1</v>
      </c>
      <c r="I112" s="12">
        <v>1.19E7</v>
      </c>
    </row>
    <row r="113" ht="14.25" customHeight="1">
      <c r="A113" s="3">
        <v>211.0</v>
      </c>
      <c r="B113" s="3" t="s">
        <v>33</v>
      </c>
      <c r="C113" s="3">
        <v>25.2</v>
      </c>
      <c r="D113" s="3">
        <v>2.52E7</v>
      </c>
      <c r="E113" s="3">
        <v>6.6</v>
      </c>
      <c r="F113" s="3">
        <v>720.9</v>
      </c>
      <c r="G113" s="3">
        <v>23.0</v>
      </c>
      <c r="H113" s="3">
        <v>11.4</v>
      </c>
      <c r="I113" s="12">
        <v>1.26E7</v>
      </c>
    </row>
    <row r="114" ht="14.25" customHeight="1">
      <c r="A114" s="3">
        <v>212.0</v>
      </c>
      <c r="B114" s="3" t="s">
        <v>21</v>
      </c>
      <c r="C114" s="3">
        <v>26.2</v>
      </c>
      <c r="D114" s="3">
        <v>1.965E7</v>
      </c>
      <c r="E114" s="3">
        <v>19.1</v>
      </c>
      <c r="F114" s="3">
        <v>806.0</v>
      </c>
      <c r="G114" s="3">
        <v>28.0</v>
      </c>
      <c r="H114" s="3">
        <v>5.0</v>
      </c>
      <c r="I114" s="12">
        <v>1.31E7</v>
      </c>
    </row>
    <row r="115" ht="14.25" customHeight="1">
      <c r="A115" s="3">
        <v>213.0</v>
      </c>
      <c r="B115" s="3" t="s">
        <v>33</v>
      </c>
      <c r="C115" s="3">
        <v>27.6</v>
      </c>
      <c r="D115" s="3">
        <v>1.794E7</v>
      </c>
      <c r="E115" s="3">
        <v>25.6</v>
      </c>
      <c r="F115" s="3">
        <v>818.0</v>
      </c>
      <c r="G115" s="3">
        <v>27.0</v>
      </c>
      <c r="H115" s="3">
        <v>15.0</v>
      </c>
      <c r="I115" s="12">
        <v>1.38E7</v>
      </c>
    </row>
    <row r="116" ht="14.25" customHeight="1">
      <c r="A116" s="3">
        <v>214.0</v>
      </c>
      <c r="B116" s="3" t="s">
        <v>21</v>
      </c>
      <c r="C116" s="3">
        <v>28.2</v>
      </c>
      <c r="D116" s="3">
        <v>2.538E7</v>
      </c>
      <c r="E116" s="3">
        <v>20.1</v>
      </c>
      <c r="F116" s="3">
        <v>1067.3</v>
      </c>
      <c r="G116" s="3">
        <v>28.2</v>
      </c>
      <c r="H116" s="3">
        <v>9.90000000000001</v>
      </c>
      <c r="I116" s="12">
        <v>1.41E7</v>
      </c>
    </row>
    <row r="117" ht="14.25" customHeight="1">
      <c r="A117" s="3">
        <v>215.0</v>
      </c>
      <c r="B117" s="3" t="s">
        <v>33</v>
      </c>
      <c r="C117" s="3">
        <v>29.2</v>
      </c>
      <c r="D117" s="3">
        <v>1.5E7</v>
      </c>
      <c r="E117" s="3">
        <v>8.6</v>
      </c>
      <c r="F117" s="3">
        <v>828.9</v>
      </c>
      <c r="G117" s="3">
        <v>29.2</v>
      </c>
      <c r="H117" s="3">
        <v>15.0</v>
      </c>
      <c r="I117" s="12">
        <v>1.46E7</v>
      </c>
    </row>
    <row r="118" ht="14.25" customHeight="1">
      <c r="A118" s="3">
        <v>216.0</v>
      </c>
      <c r="B118" s="3" t="s">
        <v>21</v>
      </c>
      <c r="C118" s="3">
        <v>30.6</v>
      </c>
      <c r="D118" s="3">
        <v>3.06E7</v>
      </c>
      <c r="E118" s="3">
        <v>21.3</v>
      </c>
      <c r="F118" s="3">
        <v>938.0</v>
      </c>
      <c r="G118" s="3">
        <v>30.6</v>
      </c>
      <c r="H118" s="3">
        <v>5.0</v>
      </c>
      <c r="I118" s="12">
        <v>1.53E7</v>
      </c>
    </row>
    <row r="119" ht="14.25" customHeight="1">
      <c r="A119" s="3">
        <v>217.0</v>
      </c>
      <c r="B119" s="3" t="s">
        <v>33</v>
      </c>
      <c r="C119" s="3">
        <v>22.0</v>
      </c>
      <c r="D119" s="3">
        <v>2.37E7</v>
      </c>
      <c r="E119" s="3">
        <v>29.6</v>
      </c>
      <c r="F119" s="3">
        <v>938.0</v>
      </c>
      <c r="G119" s="3">
        <v>31.6</v>
      </c>
      <c r="H119" s="3">
        <v>15.0</v>
      </c>
      <c r="I119" s="12">
        <v>1.58E7</v>
      </c>
    </row>
    <row r="120" ht="14.25" customHeight="1">
      <c r="A120" s="3">
        <v>218.0</v>
      </c>
      <c r="B120" s="3" t="s">
        <v>21</v>
      </c>
      <c r="C120" s="3">
        <v>20.4</v>
      </c>
      <c r="D120" s="3">
        <v>2.145E7</v>
      </c>
      <c r="E120" s="3">
        <v>22.5</v>
      </c>
      <c r="F120" s="3">
        <v>1254.5</v>
      </c>
      <c r="G120" s="3">
        <v>33.0</v>
      </c>
      <c r="H120" s="3">
        <v>4.0</v>
      </c>
      <c r="I120" s="12">
        <v>1.65E7</v>
      </c>
    </row>
    <row r="121" ht="14.25" customHeight="1">
      <c r="A121" s="3">
        <v>219.0</v>
      </c>
      <c r="B121" s="3" t="s">
        <v>33</v>
      </c>
      <c r="C121" s="3">
        <v>21.3</v>
      </c>
      <c r="D121" s="3">
        <v>3.06E7</v>
      </c>
      <c r="E121" s="3">
        <v>11.0</v>
      </c>
      <c r="F121" s="3">
        <v>958.5</v>
      </c>
      <c r="G121" s="3">
        <v>34.0</v>
      </c>
      <c r="H121" s="3">
        <v>4.0</v>
      </c>
      <c r="I121" s="12">
        <v>1.7E7</v>
      </c>
    </row>
    <row r="122" ht="14.25" customHeight="1">
      <c r="A122" s="3">
        <v>220.0</v>
      </c>
      <c r="B122" s="3" t="s">
        <v>21</v>
      </c>
      <c r="C122" s="3">
        <v>22.8</v>
      </c>
      <c r="D122" s="3">
        <v>1.5E7</v>
      </c>
      <c r="E122" s="3">
        <v>23.7</v>
      </c>
      <c r="F122" s="3">
        <v>1082.0</v>
      </c>
      <c r="G122" s="3">
        <v>36.0</v>
      </c>
      <c r="H122" s="3">
        <v>4.0</v>
      </c>
      <c r="I122" s="12">
        <v>1.77E7</v>
      </c>
    </row>
    <row r="123" ht="14.25" customHeight="1">
      <c r="A123" s="3">
        <v>221.0</v>
      </c>
      <c r="B123" s="3" t="s">
        <v>33</v>
      </c>
      <c r="C123" s="3">
        <v>24.9</v>
      </c>
      <c r="D123" s="3">
        <v>3.6E7</v>
      </c>
      <c r="E123" s="3">
        <v>34.0</v>
      </c>
      <c r="F123" s="3">
        <v>1070.0</v>
      </c>
      <c r="G123" s="3">
        <v>33.0</v>
      </c>
      <c r="H123" s="3">
        <v>4.0</v>
      </c>
      <c r="I123" s="12">
        <v>1.8E7</v>
      </c>
    </row>
    <row r="124" ht="14.25" customHeight="1">
      <c r="A124" s="3">
        <v>222.0</v>
      </c>
      <c r="B124" s="3" t="s">
        <v>21</v>
      </c>
      <c r="C124" s="3">
        <v>25.8</v>
      </c>
      <c r="D124" s="3">
        <v>3000000.0</v>
      </c>
      <c r="E124" s="3">
        <v>8.0</v>
      </c>
      <c r="F124" s="3">
        <v>156.0</v>
      </c>
      <c r="G124" s="3">
        <v>10.0</v>
      </c>
      <c r="H124" s="3">
        <v>78.0</v>
      </c>
      <c r="I124" s="12">
        <v>2000000.0</v>
      </c>
    </row>
    <row r="125" ht="14.25" customHeight="1">
      <c r="A125" s="3">
        <v>223.0</v>
      </c>
      <c r="B125" s="3" t="s">
        <v>33</v>
      </c>
      <c r="C125" s="3">
        <v>27.3</v>
      </c>
      <c r="D125" s="3">
        <v>3000000.0</v>
      </c>
      <c r="E125" s="3">
        <v>2.0</v>
      </c>
      <c r="F125" s="3">
        <v>164.7</v>
      </c>
      <c r="G125" s="3">
        <v>7.2</v>
      </c>
      <c r="H125" s="3">
        <v>74.7</v>
      </c>
      <c r="I125" s="12">
        <v>2300000.0</v>
      </c>
    </row>
    <row r="126" ht="14.25" customHeight="1">
      <c r="A126" s="3">
        <v>224.0</v>
      </c>
      <c r="B126" s="3" t="s">
        <v>21</v>
      </c>
      <c r="C126" s="3">
        <v>30.0</v>
      </c>
      <c r="D126" s="3">
        <v>3.0E7</v>
      </c>
      <c r="E126" s="3">
        <v>8.8</v>
      </c>
      <c r="F126" s="3">
        <v>160.0</v>
      </c>
      <c r="G126" s="3">
        <v>5.6</v>
      </c>
      <c r="H126" s="3">
        <v>69.2</v>
      </c>
      <c r="I126" s="12">
        <v>2800000.0</v>
      </c>
    </row>
    <row r="127" ht="14.25" customHeight="1">
      <c r="A127" s="3">
        <v>225.0</v>
      </c>
      <c r="B127" s="3" t="s">
        <v>33</v>
      </c>
      <c r="C127" s="3">
        <v>30.0</v>
      </c>
      <c r="D127" s="3">
        <v>1.044E7</v>
      </c>
      <c r="E127" s="3">
        <v>5.0</v>
      </c>
      <c r="F127" s="3">
        <v>200.0</v>
      </c>
      <c r="G127" s="3">
        <v>14.0</v>
      </c>
      <c r="H127" s="3">
        <v>61.5</v>
      </c>
      <c r="I127" s="12">
        <v>3500000.0</v>
      </c>
    </row>
    <row r="128" ht="14.25" customHeight="1">
      <c r="A128" s="3">
        <v>226.0</v>
      </c>
      <c r="B128" s="3" t="s">
        <v>21</v>
      </c>
      <c r="C128" s="3">
        <v>30.0</v>
      </c>
      <c r="D128" s="3">
        <v>1.89E7</v>
      </c>
      <c r="E128" s="3">
        <v>9.8</v>
      </c>
      <c r="F128" s="3">
        <v>263.9</v>
      </c>
      <c r="G128" s="3">
        <v>9.12</v>
      </c>
      <c r="H128" s="3">
        <v>58.2</v>
      </c>
      <c r="I128" s="12">
        <v>3800000.0</v>
      </c>
    </row>
    <row r="129" ht="14.25" customHeight="1">
      <c r="A129" s="3">
        <v>227.0</v>
      </c>
      <c r="B129" s="3" t="s">
        <v>33</v>
      </c>
      <c r="C129" s="3">
        <v>30.0</v>
      </c>
      <c r="D129" s="3">
        <v>1.32E7</v>
      </c>
      <c r="E129" s="3">
        <v>5.0</v>
      </c>
      <c r="F129" s="3">
        <v>272.7</v>
      </c>
      <c r="G129" s="3">
        <v>6.88</v>
      </c>
      <c r="H129" s="3">
        <v>52.7</v>
      </c>
      <c r="I129" s="12">
        <v>4300000.0</v>
      </c>
    </row>
    <row r="130" ht="14.25" customHeight="1">
      <c r="A130" s="3">
        <v>228.0</v>
      </c>
      <c r="B130" s="3" t="s">
        <v>21</v>
      </c>
      <c r="C130" s="3">
        <v>20.0</v>
      </c>
      <c r="D130" s="3">
        <v>1.065E7</v>
      </c>
      <c r="E130" s="3">
        <v>10.6</v>
      </c>
      <c r="F130" s="3">
        <v>296.0</v>
      </c>
      <c r="G130" s="3">
        <v>18.0</v>
      </c>
      <c r="H130" s="3">
        <v>47.0</v>
      </c>
      <c r="I130" s="12">
        <v>4600000.0</v>
      </c>
    </row>
    <row r="131" ht="14.25" customHeight="1">
      <c r="A131" s="3">
        <v>229.0</v>
      </c>
      <c r="B131" s="3" t="s">
        <v>33</v>
      </c>
      <c r="C131" s="3">
        <v>20.0</v>
      </c>
      <c r="D131" s="3">
        <v>9180000.0</v>
      </c>
      <c r="E131" s="3">
        <v>8.2</v>
      </c>
      <c r="F131" s="3">
        <v>296.0</v>
      </c>
      <c r="G131" s="3">
        <v>12.0</v>
      </c>
      <c r="H131" s="3">
        <v>37.0</v>
      </c>
      <c r="I131" s="12">
        <v>5100000.0</v>
      </c>
    </row>
    <row r="132" ht="14.25" customHeight="1">
      <c r="A132" s="3">
        <v>230.0</v>
      </c>
      <c r="B132" s="3" t="s">
        <v>21</v>
      </c>
      <c r="C132" s="3">
        <v>20.0</v>
      </c>
      <c r="D132" s="3">
        <v>1.74E7</v>
      </c>
      <c r="E132" s="3">
        <v>11.8</v>
      </c>
      <c r="F132" s="3">
        <v>419.9</v>
      </c>
      <c r="G132" s="3">
        <v>9.6</v>
      </c>
      <c r="H132" s="3">
        <v>36.2</v>
      </c>
      <c r="I132" s="12">
        <v>5800000.0</v>
      </c>
    </row>
    <row r="133" ht="14.25" customHeight="1">
      <c r="A133" s="3">
        <v>231.0</v>
      </c>
      <c r="B133" s="3" t="s">
        <v>33</v>
      </c>
      <c r="C133" s="3">
        <v>20.2</v>
      </c>
      <c r="D133" s="3">
        <v>1.22E7</v>
      </c>
      <c r="E133" s="3">
        <v>6.0</v>
      </c>
      <c r="F133" s="3">
        <v>369.9</v>
      </c>
      <c r="G133" s="3">
        <v>22.0</v>
      </c>
      <c r="H133" s="3">
        <v>30.0</v>
      </c>
      <c r="I133" s="12">
        <v>6100000.0</v>
      </c>
    </row>
    <row r="134" ht="14.25" customHeight="1">
      <c r="A134" s="3">
        <v>232.0</v>
      </c>
      <c r="B134" s="3" t="s">
        <v>21</v>
      </c>
      <c r="C134" s="3">
        <v>21.6</v>
      </c>
      <c r="D134" s="3">
        <v>9900000.0</v>
      </c>
      <c r="E134" s="3">
        <v>12.6</v>
      </c>
      <c r="F134" s="3">
        <v>416.0</v>
      </c>
      <c r="G134" s="3">
        <v>15.84</v>
      </c>
      <c r="H134" s="3">
        <v>25.0</v>
      </c>
      <c r="I134" s="12">
        <v>6600000.0</v>
      </c>
    </row>
    <row r="135" ht="14.25" customHeight="1">
      <c r="A135" s="3">
        <v>233.0</v>
      </c>
      <c r="B135" s="3" t="s">
        <v>33</v>
      </c>
      <c r="C135" s="3">
        <v>24.0</v>
      </c>
      <c r="D135" s="3">
        <v>9490000.0</v>
      </c>
      <c r="E135" s="3">
        <v>12.6</v>
      </c>
      <c r="F135" s="3">
        <v>428.0</v>
      </c>
      <c r="G135" s="3">
        <v>11.68</v>
      </c>
      <c r="H135" s="3">
        <v>19.7</v>
      </c>
      <c r="I135" s="12">
        <v>7300000.0</v>
      </c>
    </row>
    <row r="136" ht="14.25" customHeight="1">
      <c r="A136" s="3">
        <v>234.0</v>
      </c>
      <c r="B136" s="3" t="s">
        <v>21</v>
      </c>
      <c r="C136" s="3">
        <v>27.0</v>
      </c>
      <c r="D136" s="3">
        <v>1.368E7</v>
      </c>
      <c r="E136" s="3">
        <v>13.6</v>
      </c>
      <c r="F136" s="3">
        <v>560.3</v>
      </c>
      <c r="G136" s="3">
        <v>30.0</v>
      </c>
      <c r="H136" s="3">
        <v>15.0</v>
      </c>
      <c r="I136" s="12">
        <v>7600000.0</v>
      </c>
    </row>
    <row r="137" ht="14.25" customHeight="1">
      <c r="A137" s="3">
        <v>235.0</v>
      </c>
      <c r="B137" s="3" t="s">
        <v>33</v>
      </c>
      <c r="C137" s="3">
        <v>35.0</v>
      </c>
      <c r="D137" s="3">
        <v>2.43E7</v>
      </c>
      <c r="E137" s="3">
        <v>2.1</v>
      </c>
      <c r="F137" s="3">
        <v>477.9</v>
      </c>
      <c r="G137" s="3">
        <v>20.4</v>
      </c>
      <c r="H137" s="3">
        <v>10.9</v>
      </c>
      <c r="I137" s="12">
        <v>8100000.0</v>
      </c>
    </row>
    <row r="138" ht="14.25" customHeight="1">
      <c r="A138" s="3">
        <v>236.0</v>
      </c>
      <c r="B138" s="3" t="s">
        <v>21</v>
      </c>
      <c r="C138" s="3">
        <v>36.0</v>
      </c>
      <c r="D138" s="3">
        <v>1.76E7</v>
      </c>
      <c r="E138" s="3">
        <v>14.8</v>
      </c>
      <c r="F138" s="3">
        <v>548.0</v>
      </c>
      <c r="G138" s="3">
        <v>14.08</v>
      </c>
      <c r="H138" s="3">
        <v>15.0</v>
      </c>
      <c r="I138" s="12">
        <v>8800000.0</v>
      </c>
    </row>
    <row r="139" ht="14.25" customHeight="1">
      <c r="A139" s="3">
        <v>237.0</v>
      </c>
      <c r="B139" s="3" t="s">
        <v>33</v>
      </c>
      <c r="C139" s="3">
        <v>27.0</v>
      </c>
      <c r="D139" s="3">
        <v>1.365E7</v>
      </c>
      <c r="E139" s="3">
        <v>16.2</v>
      </c>
      <c r="F139" s="3">
        <v>536.0</v>
      </c>
      <c r="G139" s="3">
        <v>36.4</v>
      </c>
      <c r="H139" s="3">
        <v>29.9</v>
      </c>
      <c r="I139" s="12">
        <v>9100000.0</v>
      </c>
    </row>
    <row r="140" ht="14.25" customHeight="1">
      <c r="A140" s="3">
        <v>238.0</v>
      </c>
      <c r="B140" s="3" t="s">
        <v>21</v>
      </c>
      <c r="C140" s="3">
        <v>27.0</v>
      </c>
      <c r="D140" s="3">
        <v>1.248E7</v>
      </c>
      <c r="E140" s="3">
        <v>23.2</v>
      </c>
      <c r="F140" s="3">
        <v>716.3</v>
      </c>
      <c r="G140" s="3">
        <v>23.04</v>
      </c>
      <c r="H140" s="3">
        <v>25.0</v>
      </c>
      <c r="I140" s="12">
        <v>9600000.0</v>
      </c>
    </row>
    <row r="141" ht="14.25" customHeight="1">
      <c r="A141" s="3">
        <v>239.0</v>
      </c>
      <c r="B141" s="3" t="s">
        <v>33</v>
      </c>
      <c r="C141" s="3">
        <v>22.0</v>
      </c>
      <c r="D141" s="3">
        <v>1.818E7</v>
      </c>
      <c r="E141" s="3">
        <v>12.1</v>
      </c>
      <c r="F141" s="3">
        <v>585.9</v>
      </c>
      <c r="G141" s="3">
        <v>16.16</v>
      </c>
      <c r="H141" s="3">
        <v>18.9</v>
      </c>
      <c r="I141" s="12">
        <v>1.01E7</v>
      </c>
    </row>
    <row r="142" ht="14.25" customHeight="1">
      <c r="A142" s="3">
        <v>240.0</v>
      </c>
      <c r="B142" s="3" t="s">
        <v>21</v>
      </c>
      <c r="C142" s="3">
        <v>22.0</v>
      </c>
      <c r="D142" s="3">
        <v>3.24E7</v>
      </c>
      <c r="E142" s="3">
        <v>7.8</v>
      </c>
      <c r="F142" s="3">
        <v>668.0</v>
      </c>
      <c r="G142" s="3">
        <v>43.2</v>
      </c>
      <c r="H142" s="3">
        <v>11.2</v>
      </c>
      <c r="I142" s="12">
        <v>1.08E7</v>
      </c>
    </row>
    <row r="143" ht="14.25" customHeight="1">
      <c r="A143" s="3">
        <v>241.0</v>
      </c>
      <c r="B143" s="3" t="s">
        <v>33</v>
      </c>
      <c r="C143" s="3">
        <v>22.0</v>
      </c>
      <c r="D143" s="3">
        <v>2.22E7</v>
      </c>
      <c r="E143" s="3">
        <v>15.1</v>
      </c>
      <c r="F143" s="3">
        <v>656.0</v>
      </c>
      <c r="G143" s="3">
        <v>30.0</v>
      </c>
      <c r="H143" s="3">
        <v>5.0</v>
      </c>
      <c r="I143" s="12">
        <v>1.11E7</v>
      </c>
    </row>
    <row r="144" ht="14.25" customHeight="1">
      <c r="A144" s="3">
        <v>242.0</v>
      </c>
      <c r="B144" s="3" t="s">
        <v>21</v>
      </c>
      <c r="C144" s="3">
        <v>19.8</v>
      </c>
      <c r="D144" s="3">
        <v>1.74E7</v>
      </c>
      <c r="E144" s="3">
        <v>27.2</v>
      </c>
      <c r="F144" s="3">
        <v>872.3</v>
      </c>
      <c r="G144" s="3">
        <v>18.4</v>
      </c>
      <c r="H144" s="3">
        <v>15.0</v>
      </c>
      <c r="I144" s="12">
        <v>1.16E7</v>
      </c>
    </row>
    <row r="145" ht="14.25" customHeight="1">
      <c r="A145" s="3">
        <v>243.0</v>
      </c>
      <c r="B145" s="3" t="s">
        <v>33</v>
      </c>
      <c r="C145" s="3">
        <v>21.3</v>
      </c>
      <c r="D145" s="3">
        <v>1.599E7</v>
      </c>
      <c r="E145" s="3">
        <v>14.3</v>
      </c>
      <c r="F145" s="3">
        <v>704.7</v>
      </c>
      <c r="G145" s="3">
        <v>22.0</v>
      </c>
      <c r="H145" s="3">
        <v>15.0</v>
      </c>
      <c r="I145" s="12">
        <v>1.23E7</v>
      </c>
    </row>
    <row r="146" ht="14.25" customHeight="1">
      <c r="A146" s="3">
        <v>244.0</v>
      </c>
      <c r="B146" s="3" t="s">
        <v>21</v>
      </c>
      <c r="C146" s="3">
        <v>23.4</v>
      </c>
      <c r="D146" s="3">
        <v>2.268E7</v>
      </c>
      <c r="E146" s="3">
        <v>9.6</v>
      </c>
      <c r="F146" s="3">
        <v>776.0</v>
      </c>
      <c r="G146" s="3">
        <v>20.0</v>
      </c>
      <c r="H146" s="3">
        <v>11.4</v>
      </c>
      <c r="I146" s="12">
        <v>1.26E7</v>
      </c>
    </row>
    <row r="147" ht="14.25" customHeight="1">
      <c r="A147" s="3">
        <v>245.0</v>
      </c>
      <c r="B147" s="3" t="s">
        <v>33</v>
      </c>
      <c r="C147" s="3">
        <v>24.3</v>
      </c>
      <c r="D147" s="3">
        <v>1.5E7</v>
      </c>
      <c r="E147" s="3">
        <v>17.1</v>
      </c>
      <c r="F147" s="3">
        <v>776.0</v>
      </c>
      <c r="G147" s="3">
        <v>19.0</v>
      </c>
      <c r="H147" s="3">
        <v>5.0</v>
      </c>
      <c r="I147" s="12">
        <v>1.31E7</v>
      </c>
    </row>
    <row r="148" ht="14.25" customHeight="1">
      <c r="A148" s="3">
        <v>246.0</v>
      </c>
      <c r="B148" s="3" t="s">
        <v>21</v>
      </c>
      <c r="C148" s="3">
        <v>25.8</v>
      </c>
      <c r="D148" s="3">
        <v>2.76E7</v>
      </c>
      <c r="E148" s="3">
        <v>31.6</v>
      </c>
      <c r="F148" s="3">
        <v>1043.9</v>
      </c>
      <c r="G148" s="3">
        <v>29.0</v>
      </c>
      <c r="H148" s="3">
        <v>15.0</v>
      </c>
      <c r="I148" s="12">
        <v>1.38E7</v>
      </c>
    </row>
    <row r="149" ht="14.25" customHeight="1">
      <c r="A149" s="3">
        <v>247.0</v>
      </c>
      <c r="B149" s="3" t="s">
        <v>33</v>
      </c>
      <c r="C149" s="3">
        <v>22.0</v>
      </c>
      <c r="D149" s="3">
        <v>2.145E7</v>
      </c>
      <c r="E149" s="3">
        <v>16.3</v>
      </c>
      <c r="F149" s="3">
        <v>812.7</v>
      </c>
      <c r="G149" s="3">
        <v>28.6</v>
      </c>
      <c r="H149" s="3">
        <v>5.0</v>
      </c>
      <c r="I149" s="12">
        <v>1.43E7</v>
      </c>
    </row>
    <row r="150" ht="14.25" customHeight="1">
      <c r="A150" s="3">
        <v>248.0</v>
      </c>
      <c r="B150" s="3" t="s">
        <v>21</v>
      </c>
      <c r="C150" s="3">
        <v>20.4</v>
      </c>
      <c r="D150" s="3">
        <v>1.95E7</v>
      </c>
      <c r="E150" s="3">
        <v>12.0</v>
      </c>
      <c r="F150" s="3">
        <v>920.0</v>
      </c>
      <c r="G150" s="3">
        <v>30.0</v>
      </c>
      <c r="H150" s="3">
        <v>15.0</v>
      </c>
      <c r="I150" s="12">
        <v>1.5E7</v>
      </c>
    </row>
    <row r="151" ht="14.25" customHeight="1">
      <c r="A151" s="3">
        <v>249.0</v>
      </c>
      <c r="B151" s="3" t="s">
        <v>33</v>
      </c>
      <c r="C151" s="3">
        <v>21.3</v>
      </c>
      <c r="D151" s="3">
        <v>2.754E7</v>
      </c>
      <c r="E151" s="3">
        <v>19.3</v>
      </c>
      <c r="F151" s="3">
        <v>908.0</v>
      </c>
      <c r="G151" s="3">
        <v>30.6</v>
      </c>
      <c r="H151" s="3">
        <v>5.0</v>
      </c>
      <c r="I151" s="12">
        <v>1.53E7</v>
      </c>
    </row>
    <row r="152" ht="14.25" customHeight="1">
      <c r="A152" s="3">
        <v>250.0</v>
      </c>
      <c r="B152" s="3" t="s">
        <v>21</v>
      </c>
      <c r="C152" s="3">
        <v>22.8</v>
      </c>
      <c r="D152" s="3">
        <v>1.5E7</v>
      </c>
      <c r="E152" s="3">
        <v>35.6</v>
      </c>
      <c r="F152" s="3">
        <v>1199.9</v>
      </c>
      <c r="G152" s="3">
        <v>31.6</v>
      </c>
      <c r="H152" s="3">
        <v>15.0</v>
      </c>
      <c r="I152" s="12">
        <v>1.58E7</v>
      </c>
    </row>
    <row r="153" ht="14.25" customHeight="1">
      <c r="A153" s="3">
        <v>251.0</v>
      </c>
      <c r="B153" s="3" t="s">
        <v>33</v>
      </c>
      <c r="C153" s="3">
        <v>24.9</v>
      </c>
      <c r="D153" s="3">
        <v>3.3E7</v>
      </c>
      <c r="E153" s="3">
        <v>18.5</v>
      </c>
      <c r="F153" s="3">
        <v>931.5</v>
      </c>
      <c r="G153" s="3">
        <v>33.0</v>
      </c>
      <c r="H153" s="3">
        <v>5.0</v>
      </c>
      <c r="I153" s="12">
        <v>1.65E7</v>
      </c>
    </row>
    <row r="154" ht="14.25" customHeight="1">
      <c r="A154" s="3">
        <v>252.0</v>
      </c>
      <c r="B154" s="3" t="s">
        <v>21</v>
      </c>
      <c r="C154" s="3">
        <v>25.8</v>
      </c>
      <c r="D154" s="3">
        <v>2.55E7</v>
      </c>
      <c r="E154" s="3">
        <v>14.0</v>
      </c>
      <c r="F154" s="3">
        <v>1040.0</v>
      </c>
      <c r="G154" s="3">
        <v>34.0</v>
      </c>
      <c r="H154" s="3">
        <v>5.0</v>
      </c>
      <c r="I154" s="12">
        <v>1.7E7</v>
      </c>
    </row>
    <row r="155" ht="14.25" customHeight="1">
      <c r="A155" s="3">
        <v>253.0</v>
      </c>
      <c r="B155" s="3" t="s">
        <v>33</v>
      </c>
      <c r="C155" s="3">
        <v>27.3</v>
      </c>
      <c r="D155" s="3">
        <v>2.301E7</v>
      </c>
      <c r="E155" s="3">
        <v>21.7</v>
      </c>
      <c r="F155" s="3">
        <v>1052.0</v>
      </c>
      <c r="G155" s="3">
        <v>30.0</v>
      </c>
      <c r="H155" s="3">
        <v>5.0</v>
      </c>
      <c r="I155" s="12">
        <v>1.77E7</v>
      </c>
    </row>
    <row r="156" ht="14.25" customHeight="1">
      <c r="A156" s="3">
        <v>254.0</v>
      </c>
      <c r="B156" s="3" t="s">
        <v>21</v>
      </c>
      <c r="C156" s="3">
        <v>29.4</v>
      </c>
      <c r="D156" s="3">
        <v>3.276E7</v>
      </c>
      <c r="E156" s="3">
        <v>40.4</v>
      </c>
      <c r="F156" s="3">
        <v>1387.1</v>
      </c>
      <c r="G156" s="3">
        <v>35.0</v>
      </c>
      <c r="H156" s="3">
        <v>5.0</v>
      </c>
      <c r="I156" s="12">
        <v>1.82E7</v>
      </c>
    </row>
    <row r="157" ht="14.25" customHeight="1">
      <c r="A157" s="3">
        <v>255.0</v>
      </c>
      <c r="B157" s="3" t="s">
        <v>33</v>
      </c>
      <c r="C157" s="3">
        <v>37.8</v>
      </c>
      <c r="D157" s="3">
        <v>1.5E7</v>
      </c>
      <c r="E157" s="3">
        <v>20.9</v>
      </c>
      <c r="F157" s="3">
        <v>1061.1</v>
      </c>
      <c r="G157" s="3">
        <v>37.0</v>
      </c>
      <c r="H157" s="3">
        <v>4.0</v>
      </c>
      <c r="I157" s="12">
        <v>1.89E7</v>
      </c>
    </row>
    <row r="158" ht="14.25" customHeight="1">
      <c r="A158" s="3">
        <v>256.0</v>
      </c>
      <c r="B158" s="3" t="s">
        <v>21</v>
      </c>
      <c r="C158" s="3">
        <v>38.4</v>
      </c>
      <c r="D158" s="3">
        <v>1.5E7</v>
      </c>
      <c r="E158" s="3">
        <v>16.2</v>
      </c>
      <c r="F158" s="3">
        <v>1172.0</v>
      </c>
      <c r="G158" s="3">
        <v>38.0</v>
      </c>
      <c r="H158" s="3">
        <v>4.0</v>
      </c>
      <c r="I158" s="12">
        <v>1.92E7</v>
      </c>
    </row>
    <row r="159" ht="14.25" customHeight="1">
      <c r="A159" s="3">
        <v>257.0</v>
      </c>
      <c r="B159" s="3" t="s">
        <v>33</v>
      </c>
      <c r="C159" s="3">
        <v>21.0</v>
      </c>
      <c r="D159" s="3">
        <v>3000000.0</v>
      </c>
      <c r="E159" s="3">
        <v>5.5</v>
      </c>
      <c r="F159" s="3">
        <v>110.0</v>
      </c>
      <c r="G159" s="3">
        <v>8.0</v>
      </c>
      <c r="H159" s="3">
        <v>80.0</v>
      </c>
      <c r="I159" s="12">
        <v>1500000.0</v>
      </c>
    </row>
    <row r="160" ht="14.25" customHeight="1">
      <c r="A160" s="3">
        <v>258.0</v>
      </c>
      <c r="B160" s="3" t="s">
        <v>21</v>
      </c>
      <c r="C160" s="3">
        <v>21.0</v>
      </c>
      <c r="D160" s="3">
        <v>3000000.0</v>
      </c>
      <c r="E160" s="3">
        <v>7.6</v>
      </c>
      <c r="F160" s="3">
        <v>156.0</v>
      </c>
      <c r="G160" s="3">
        <v>4.0</v>
      </c>
      <c r="H160" s="3">
        <v>84.0</v>
      </c>
      <c r="I160" s="12">
        <v>1800000.0</v>
      </c>
    </row>
    <row r="161" ht="14.25" customHeight="1">
      <c r="A161" s="3">
        <v>259.0</v>
      </c>
      <c r="B161" s="3" t="s">
        <v>33</v>
      </c>
      <c r="C161" s="3">
        <v>25.0</v>
      </c>
      <c r="D161" s="3">
        <v>4140000.0</v>
      </c>
      <c r="E161" s="3">
        <v>9.0</v>
      </c>
      <c r="F161" s="3">
        <v>164.7</v>
      </c>
      <c r="G161" s="3">
        <v>3.0</v>
      </c>
      <c r="H161" s="3">
        <v>74.7</v>
      </c>
      <c r="I161" s="12">
        <v>2300000.0</v>
      </c>
    </row>
    <row r="162" ht="14.25" customHeight="1">
      <c r="A162" s="3">
        <v>260.0</v>
      </c>
      <c r="B162" s="3" t="s">
        <v>21</v>
      </c>
      <c r="C162" s="3">
        <v>25.0</v>
      </c>
      <c r="D162" s="3">
        <v>9000000.0</v>
      </c>
      <c r="E162" s="3">
        <v>8.0</v>
      </c>
      <c r="F162" s="3">
        <v>200.0</v>
      </c>
      <c r="G162" s="3">
        <v>7.5</v>
      </c>
      <c r="H162" s="3">
        <v>67.0</v>
      </c>
      <c r="I162" s="12">
        <v>3000000.0</v>
      </c>
    </row>
    <row r="163" ht="14.25" customHeight="1">
      <c r="A163" s="3">
        <v>261.0</v>
      </c>
      <c r="B163" s="3" t="s">
        <v>33</v>
      </c>
      <c r="C163" s="3">
        <v>24.0</v>
      </c>
      <c r="D163" s="3">
        <v>6600000.0</v>
      </c>
      <c r="E163" s="3">
        <v>7.3</v>
      </c>
      <c r="F163" s="3">
        <v>188.0</v>
      </c>
      <c r="G163" s="3">
        <v>7.2</v>
      </c>
      <c r="H163" s="3">
        <v>63.7</v>
      </c>
      <c r="I163" s="12">
        <v>3300000.0</v>
      </c>
    </row>
    <row r="164" ht="14.25" customHeight="1">
      <c r="A164" s="3">
        <v>262.0</v>
      </c>
      <c r="B164" s="3" t="s">
        <v>21</v>
      </c>
      <c r="C164" s="3">
        <v>30.0</v>
      </c>
      <c r="D164" s="3">
        <v>5700000.0</v>
      </c>
      <c r="E164" s="3">
        <v>11.6</v>
      </c>
      <c r="F164" s="3">
        <v>263.9</v>
      </c>
      <c r="G164" s="3">
        <v>13.68</v>
      </c>
      <c r="H164" s="3">
        <v>58.2</v>
      </c>
      <c r="I164" s="12">
        <v>3800000.0</v>
      </c>
    </row>
    <row r="165" ht="14.25" customHeight="1">
      <c r="A165" s="3">
        <v>263.0</v>
      </c>
      <c r="B165" s="3" t="s">
        <v>33</v>
      </c>
      <c r="C165" s="3">
        <v>30.0</v>
      </c>
      <c r="D165" s="3">
        <v>5330000.0</v>
      </c>
      <c r="E165" s="3">
        <v>6.1</v>
      </c>
      <c r="F165" s="3">
        <v>261.9</v>
      </c>
      <c r="G165" s="3">
        <v>12.3</v>
      </c>
      <c r="H165" s="3">
        <v>54.9</v>
      </c>
      <c r="I165" s="12">
        <v>4100000.0</v>
      </c>
    </row>
    <row r="166" ht="14.25" customHeight="1">
      <c r="A166" s="3">
        <v>264.0</v>
      </c>
      <c r="B166" s="3" t="s">
        <v>21</v>
      </c>
      <c r="C166" s="3">
        <v>30.0</v>
      </c>
      <c r="D166" s="3">
        <v>8280000.0</v>
      </c>
      <c r="E166" s="3">
        <v>1.6</v>
      </c>
      <c r="F166" s="3">
        <v>296.0</v>
      </c>
      <c r="G166" s="3">
        <v>12.0</v>
      </c>
      <c r="H166" s="3">
        <v>39.0</v>
      </c>
      <c r="I166" s="12">
        <v>4600000.0</v>
      </c>
    </row>
    <row r="167" ht="14.25" customHeight="1">
      <c r="A167" s="3">
        <v>265.0</v>
      </c>
      <c r="B167" s="3" t="s">
        <v>33</v>
      </c>
      <c r="C167" s="3">
        <v>30.0</v>
      </c>
      <c r="D167" s="3">
        <v>1.59E7</v>
      </c>
      <c r="E167" s="3">
        <v>9.3</v>
      </c>
      <c r="F167" s="3">
        <v>308.0</v>
      </c>
      <c r="G167" s="3">
        <v>16.2</v>
      </c>
      <c r="H167" s="3">
        <v>30.0</v>
      </c>
      <c r="I167" s="12">
        <v>5300000.0</v>
      </c>
    </row>
    <row r="168" ht="14.25" customHeight="1">
      <c r="A168" s="3">
        <v>266.0</v>
      </c>
      <c r="B168" s="3" t="s">
        <v>21</v>
      </c>
      <c r="C168" s="3">
        <v>20.0</v>
      </c>
      <c r="D168" s="3">
        <v>1.12E7</v>
      </c>
      <c r="E168" s="3">
        <v>15.2</v>
      </c>
      <c r="F168" s="3">
        <v>404.3</v>
      </c>
      <c r="G168" s="3">
        <v>12.0</v>
      </c>
      <c r="H168" s="3">
        <v>38.4</v>
      </c>
      <c r="I168" s="12">
        <v>5600000.0</v>
      </c>
    </row>
    <row r="169" ht="14.25" customHeight="1">
      <c r="A169" s="3">
        <v>267.0</v>
      </c>
      <c r="B169" s="3" t="s">
        <v>33</v>
      </c>
      <c r="C169" s="3">
        <v>20.0</v>
      </c>
      <c r="D169" s="3">
        <v>9150000.0</v>
      </c>
      <c r="E169" s="3">
        <v>8.1</v>
      </c>
      <c r="F169" s="3">
        <v>369.9</v>
      </c>
      <c r="G169" s="3">
        <v>10.8</v>
      </c>
      <c r="H169" s="3">
        <v>30.0</v>
      </c>
      <c r="I169" s="12">
        <v>6100000.0</v>
      </c>
    </row>
    <row r="170" ht="14.25" customHeight="1">
      <c r="A170" s="3">
        <v>268.0</v>
      </c>
      <c r="B170" s="3" t="s">
        <v>21</v>
      </c>
      <c r="C170" s="3">
        <v>20.0</v>
      </c>
      <c r="D170" s="3">
        <v>8840000.0</v>
      </c>
      <c r="E170" s="3">
        <v>3.8</v>
      </c>
      <c r="F170" s="3">
        <v>428.0</v>
      </c>
      <c r="G170" s="3">
        <v>24.48</v>
      </c>
      <c r="H170" s="3">
        <v>25.0</v>
      </c>
      <c r="I170" s="12">
        <v>6800000.0</v>
      </c>
    </row>
    <row r="171" ht="14.25" customHeight="1">
      <c r="A171" s="3">
        <v>269.0</v>
      </c>
      <c r="B171" s="3" t="s">
        <v>33</v>
      </c>
      <c r="C171" s="3">
        <v>25.8</v>
      </c>
      <c r="D171" s="3">
        <v>1.278E7</v>
      </c>
      <c r="E171" s="3">
        <v>11.1</v>
      </c>
      <c r="F171" s="3">
        <v>416.0</v>
      </c>
      <c r="G171" s="3">
        <v>21.3</v>
      </c>
      <c r="H171" s="3">
        <v>21.9</v>
      </c>
      <c r="I171" s="12">
        <v>7100000.0</v>
      </c>
    </row>
    <row r="172" ht="14.25" customHeight="1">
      <c r="A172" s="3">
        <v>270.0</v>
      </c>
      <c r="B172" s="3" t="s">
        <v>21</v>
      </c>
      <c r="C172" s="3">
        <v>27.9</v>
      </c>
      <c r="D172" s="3">
        <v>2.28E7</v>
      </c>
      <c r="E172" s="3">
        <v>19.2</v>
      </c>
      <c r="F172" s="3">
        <v>560.3</v>
      </c>
      <c r="G172" s="3">
        <v>19.2</v>
      </c>
      <c r="H172" s="3">
        <v>15.0</v>
      </c>
      <c r="I172" s="12">
        <v>7600000.0</v>
      </c>
    </row>
    <row r="173" ht="14.25" customHeight="1">
      <c r="A173" s="3">
        <v>271.0</v>
      </c>
      <c r="B173" s="3" t="s">
        <v>33</v>
      </c>
      <c r="C173" s="3">
        <v>28.8</v>
      </c>
      <c r="D173" s="3">
        <v>1.66E7</v>
      </c>
      <c r="E173" s="3">
        <v>10.3</v>
      </c>
      <c r="F173" s="3">
        <v>488.7</v>
      </c>
      <c r="G173" s="3">
        <v>25.2</v>
      </c>
      <c r="H173" s="3">
        <v>8.7</v>
      </c>
      <c r="I173" s="12">
        <v>8300000.0</v>
      </c>
    </row>
    <row r="174" ht="14.25" customHeight="1">
      <c r="A174" s="3">
        <v>272.0</v>
      </c>
      <c r="B174" s="3" t="s">
        <v>21</v>
      </c>
      <c r="C174" s="3">
        <v>20.2</v>
      </c>
      <c r="D174" s="3">
        <v>1.29E7</v>
      </c>
      <c r="E174" s="3">
        <v>5.6</v>
      </c>
      <c r="F174" s="3">
        <v>536.0</v>
      </c>
      <c r="G174" s="3">
        <v>25.8</v>
      </c>
      <c r="H174" s="3">
        <v>5.0</v>
      </c>
      <c r="I174" s="12">
        <v>8600000.0</v>
      </c>
    </row>
    <row r="175" ht="14.25" customHeight="1">
      <c r="A175" s="3">
        <v>273.0</v>
      </c>
      <c r="B175" s="3" t="s">
        <v>33</v>
      </c>
      <c r="C175" s="3">
        <v>21.6</v>
      </c>
      <c r="D175" s="3">
        <v>1.183E7</v>
      </c>
      <c r="E175" s="3">
        <v>13.1</v>
      </c>
      <c r="F175" s="3">
        <v>536.0</v>
      </c>
      <c r="G175" s="3">
        <v>21.84</v>
      </c>
      <c r="H175" s="3">
        <v>29.9</v>
      </c>
      <c r="I175" s="12">
        <v>9100000.0</v>
      </c>
    </row>
    <row r="176" ht="14.25" customHeight="1">
      <c r="A176" s="3">
        <v>274.0</v>
      </c>
      <c r="B176" s="3" t="s">
        <v>21</v>
      </c>
      <c r="C176" s="3">
        <v>24.0</v>
      </c>
      <c r="D176" s="3">
        <v>1.728E7</v>
      </c>
      <c r="E176" s="3">
        <v>23.2</v>
      </c>
      <c r="F176" s="3">
        <v>716.3</v>
      </c>
      <c r="G176" s="3">
        <v>34.56</v>
      </c>
      <c r="H176" s="3">
        <v>25.0</v>
      </c>
      <c r="I176" s="12">
        <v>9600000.0</v>
      </c>
    </row>
    <row r="177" ht="14.25" customHeight="1">
      <c r="A177" s="3">
        <v>275.0</v>
      </c>
      <c r="B177" s="3" t="s">
        <v>33</v>
      </c>
      <c r="C177" s="3">
        <v>27.0</v>
      </c>
      <c r="D177" s="3">
        <v>3.09E7</v>
      </c>
      <c r="E177" s="3">
        <v>12.3</v>
      </c>
      <c r="F177" s="3">
        <v>596.7</v>
      </c>
      <c r="G177" s="3">
        <v>20.6</v>
      </c>
      <c r="H177" s="3">
        <v>15.0</v>
      </c>
      <c r="I177" s="12">
        <v>1.03E7</v>
      </c>
    </row>
    <row r="178" ht="14.25" customHeight="1">
      <c r="A178" s="3">
        <v>276.0</v>
      </c>
      <c r="B178" s="3" t="s">
        <v>21</v>
      </c>
      <c r="C178" s="3">
        <v>25.8</v>
      </c>
      <c r="D178" s="3">
        <v>2.12E7</v>
      </c>
      <c r="E178" s="3">
        <v>7.6</v>
      </c>
      <c r="F178" s="3">
        <v>656.0</v>
      </c>
      <c r="G178" s="3">
        <v>21.2</v>
      </c>
      <c r="H178" s="3">
        <v>15.0</v>
      </c>
      <c r="I178" s="12">
        <v>1.06E7</v>
      </c>
    </row>
    <row r="179" ht="14.25" customHeight="1">
      <c r="A179" s="3">
        <v>277.0</v>
      </c>
      <c r="B179" s="3" t="s">
        <v>33</v>
      </c>
      <c r="C179" s="3">
        <v>27.3</v>
      </c>
      <c r="D179" s="3">
        <v>1.665E7</v>
      </c>
      <c r="E179" s="3">
        <v>15.1</v>
      </c>
      <c r="F179" s="3">
        <v>656.0</v>
      </c>
      <c r="G179" s="3">
        <v>30.0</v>
      </c>
      <c r="H179" s="3">
        <v>5.0</v>
      </c>
      <c r="I179" s="12">
        <v>1.11E7</v>
      </c>
    </row>
    <row r="180" ht="14.25" customHeight="1">
      <c r="A180" s="3">
        <v>278.0</v>
      </c>
      <c r="B180" s="3" t="s">
        <v>21</v>
      </c>
      <c r="C180" s="3">
        <v>29.4</v>
      </c>
      <c r="D180" s="3">
        <v>1.534E7</v>
      </c>
      <c r="E180" s="3">
        <v>27.6</v>
      </c>
      <c r="F180" s="3">
        <v>887.9</v>
      </c>
      <c r="G180" s="3">
        <v>27.0</v>
      </c>
      <c r="H180" s="3">
        <v>15.0</v>
      </c>
      <c r="I180" s="12">
        <v>1.18E7</v>
      </c>
    </row>
    <row r="181" ht="14.25" customHeight="1">
      <c r="A181" s="3">
        <v>279.0</v>
      </c>
      <c r="B181" s="3" t="s">
        <v>33</v>
      </c>
      <c r="C181" s="3">
        <v>22.0</v>
      </c>
      <c r="D181" s="3">
        <v>2.178E7</v>
      </c>
      <c r="E181" s="3">
        <v>14.1</v>
      </c>
      <c r="F181" s="3">
        <v>693.9</v>
      </c>
      <c r="G181" s="3">
        <v>28.0</v>
      </c>
      <c r="H181" s="3">
        <v>15.0</v>
      </c>
      <c r="I181" s="12">
        <v>1.21E7</v>
      </c>
    </row>
    <row r="182" ht="14.25" customHeight="1">
      <c r="A182" s="3">
        <v>280.0</v>
      </c>
      <c r="B182" s="3" t="s">
        <v>21</v>
      </c>
      <c r="C182" s="3">
        <v>22.0</v>
      </c>
      <c r="D182" s="3">
        <v>3.78E7</v>
      </c>
      <c r="E182" s="3">
        <v>9.6</v>
      </c>
      <c r="F182" s="3">
        <v>776.0</v>
      </c>
      <c r="G182" s="3">
        <v>21.0</v>
      </c>
      <c r="H182" s="3">
        <v>11.4</v>
      </c>
      <c r="I182" s="12">
        <v>1.26E7</v>
      </c>
    </row>
    <row r="183" ht="14.25" customHeight="1">
      <c r="A183" s="3">
        <v>281.0</v>
      </c>
      <c r="B183" s="3" t="s">
        <v>33</v>
      </c>
      <c r="C183" s="3">
        <v>19.8</v>
      </c>
      <c r="D183" s="3">
        <v>2.66E7</v>
      </c>
      <c r="E183" s="3">
        <v>17.3</v>
      </c>
      <c r="F183" s="3">
        <v>788.0</v>
      </c>
      <c r="G183" s="3">
        <v>23.0</v>
      </c>
      <c r="H183" s="3">
        <v>15.0</v>
      </c>
      <c r="I183" s="12">
        <v>1.33E7</v>
      </c>
    </row>
    <row r="184" ht="14.25" customHeight="1">
      <c r="A184" s="3">
        <v>282.0</v>
      </c>
      <c r="B184" s="3" t="s">
        <v>21</v>
      </c>
      <c r="C184" s="3">
        <v>21.3</v>
      </c>
      <c r="D184" s="3">
        <v>2.07E7</v>
      </c>
      <c r="E184" s="3">
        <v>31.6</v>
      </c>
      <c r="F184" s="3">
        <v>1043.9</v>
      </c>
      <c r="G184" s="3">
        <v>28.0</v>
      </c>
      <c r="H184" s="3">
        <v>15.0</v>
      </c>
      <c r="I184" s="12">
        <v>1.38E7</v>
      </c>
    </row>
    <row r="185" ht="14.25" customHeight="1">
      <c r="A185" s="3">
        <v>283.0</v>
      </c>
      <c r="B185" s="3" t="s">
        <v>33</v>
      </c>
      <c r="C185" s="3">
        <v>23.4</v>
      </c>
      <c r="D185" s="3">
        <v>1.885E7</v>
      </c>
      <c r="E185" s="3">
        <v>25.0</v>
      </c>
      <c r="F185" s="3">
        <v>823.5</v>
      </c>
      <c r="G185" s="3">
        <v>29.0</v>
      </c>
      <c r="H185" s="3">
        <v>5.0</v>
      </c>
      <c r="I185" s="12">
        <v>1.45E7</v>
      </c>
    </row>
    <row r="186" ht="14.25" customHeight="1">
      <c r="A186" s="3">
        <v>284.0</v>
      </c>
      <c r="B186" s="3" t="s">
        <v>21</v>
      </c>
      <c r="C186" s="3">
        <v>24.3</v>
      </c>
      <c r="D186" s="3">
        <v>2.664E7</v>
      </c>
      <c r="E186" s="3">
        <v>19.8</v>
      </c>
      <c r="F186" s="3">
        <v>908.0</v>
      </c>
      <c r="G186" s="3">
        <v>29.6</v>
      </c>
      <c r="H186" s="3">
        <v>15.0</v>
      </c>
      <c r="I186" s="12">
        <v>1.48E7</v>
      </c>
    </row>
    <row r="187" ht="14.25" customHeight="1">
      <c r="A187" s="3">
        <v>285.0</v>
      </c>
      <c r="B187" s="3" t="s">
        <v>33</v>
      </c>
      <c r="C187" s="3">
        <v>25.8</v>
      </c>
      <c r="D187" s="3">
        <v>1.5E7</v>
      </c>
      <c r="E187" s="3">
        <v>10.3</v>
      </c>
      <c r="F187" s="3">
        <v>908.0</v>
      </c>
      <c r="G187" s="3">
        <v>30.6</v>
      </c>
      <c r="H187" s="3">
        <v>5.0</v>
      </c>
      <c r="I187" s="12">
        <v>1.53E7</v>
      </c>
    </row>
    <row r="188" ht="14.25" customHeight="1">
      <c r="A188" s="3">
        <v>286.0</v>
      </c>
      <c r="B188" s="3" t="s">
        <v>21</v>
      </c>
      <c r="C188" s="3">
        <v>27.9</v>
      </c>
      <c r="D188" s="3">
        <v>3.2E7</v>
      </c>
      <c r="E188" s="3">
        <v>23.0</v>
      </c>
      <c r="F188" s="3">
        <v>1215.5</v>
      </c>
      <c r="G188" s="3">
        <v>32.0</v>
      </c>
      <c r="H188" s="3">
        <v>4.0</v>
      </c>
      <c r="I188" s="12">
        <v>1.6E7</v>
      </c>
    </row>
    <row r="189" ht="14.25" customHeight="1">
      <c r="A189" s="3">
        <v>287.0</v>
      </c>
      <c r="B189" s="3" t="s">
        <v>33</v>
      </c>
      <c r="C189" s="3">
        <v>33.0</v>
      </c>
      <c r="D189" s="3">
        <v>2.475E7</v>
      </c>
      <c r="E189" s="3">
        <v>29.0</v>
      </c>
      <c r="F189" s="3">
        <v>931.5</v>
      </c>
      <c r="G189" s="3">
        <v>33.0</v>
      </c>
      <c r="H189" s="3">
        <v>4.0</v>
      </c>
      <c r="I189" s="12">
        <v>1.65E7</v>
      </c>
    </row>
    <row r="190" ht="14.25" customHeight="1">
      <c r="A190" s="3">
        <v>288.0</v>
      </c>
      <c r="B190" s="3" t="s">
        <v>21</v>
      </c>
      <c r="C190" s="3">
        <v>34.4</v>
      </c>
      <c r="D190" s="3">
        <v>2.236E7</v>
      </c>
      <c r="E190" s="3">
        <v>22.2</v>
      </c>
      <c r="F190" s="3">
        <v>1052.0</v>
      </c>
      <c r="G190" s="3">
        <v>34.4</v>
      </c>
      <c r="H190" s="3">
        <v>4.0</v>
      </c>
      <c r="I190" s="12">
        <v>1.72E7</v>
      </c>
    </row>
    <row r="191" ht="14.25" customHeight="1">
      <c r="A191" s="3">
        <v>289.0</v>
      </c>
      <c r="B191" s="3" t="s">
        <v>33</v>
      </c>
      <c r="C191" s="3">
        <v>35.4</v>
      </c>
      <c r="D191" s="3">
        <v>3.186E7</v>
      </c>
      <c r="E191" s="3">
        <v>12.7</v>
      </c>
      <c r="F191" s="3">
        <v>1052.0</v>
      </c>
      <c r="G191" s="3">
        <v>32.0</v>
      </c>
      <c r="H191" s="3">
        <v>5.0</v>
      </c>
      <c r="I191" s="12">
        <v>1.77E7</v>
      </c>
    </row>
    <row r="192" ht="14.25" customHeight="1">
      <c r="A192" s="3">
        <v>290.0</v>
      </c>
      <c r="B192" s="3" t="s">
        <v>21</v>
      </c>
      <c r="C192" s="3">
        <v>36.8</v>
      </c>
      <c r="D192" s="3">
        <v>3.0E7</v>
      </c>
      <c r="E192" s="3">
        <v>25.4</v>
      </c>
      <c r="F192" s="3">
        <v>1402.7</v>
      </c>
      <c r="G192" s="3">
        <v>31.0</v>
      </c>
      <c r="H192" s="3">
        <v>5.0</v>
      </c>
      <c r="I192" s="12">
        <v>1.84E7</v>
      </c>
    </row>
    <row r="193" ht="14.25" customHeight="1">
      <c r="A193" s="3">
        <v>291.0</v>
      </c>
      <c r="B193" s="3" t="s">
        <v>33</v>
      </c>
      <c r="C193" s="3">
        <v>37.4</v>
      </c>
      <c r="D193" s="3">
        <v>3.74E7</v>
      </c>
      <c r="E193" s="3">
        <v>33.4</v>
      </c>
      <c r="F193" s="3">
        <v>1050.3</v>
      </c>
      <c r="G193" s="3">
        <v>36.0</v>
      </c>
      <c r="H193" s="3">
        <v>5.0</v>
      </c>
      <c r="I193" s="12">
        <v>1.87E7</v>
      </c>
    </row>
    <row r="194" ht="14.25" customHeight="1">
      <c r="A194" s="3">
        <v>292.0</v>
      </c>
      <c r="B194" s="3" t="s">
        <v>21</v>
      </c>
      <c r="C194" s="3">
        <v>19.0</v>
      </c>
      <c r="D194" s="3">
        <v>3000000.0</v>
      </c>
      <c r="E194" s="3">
        <v>5.5</v>
      </c>
      <c r="F194" s="3">
        <v>160.0</v>
      </c>
      <c r="G194" s="3">
        <v>7.0</v>
      </c>
      <c r="H194" s="3">
        <v>74.0</v>
      </c>
      <c r="I194" s="12">
        <v>500000.0</v>
      </c>
    </row>
    <row r="195" ht="14.25" customHeight="1">
      <c r="A195" s="3">
        <v>293.0</v>
      </c>
      <c r="B195" s="3" t="s">
        <v>33</v>
      </c>
      <c r="C195" s="3">
        <v>19.0</v>
      </c>
      <c r="D195" s="3">
        <v>3.0E7</v>
      </c>
      <c r="E195" s="3">
        <v>9.0</v>
      </c>
      <c r="F195" s="3">
        <v>80.0</v>
      </c>
      <c r="G195" s="3">
        <v>8.0</v>
      </c>
      <c r="H195" s="3">
        <v>76.0</v>
      </c>
      <c r="I195" s="12">
        <v>800000.0</v>
      </c>
    </row>
    <row r="196" ht="14.25" customHeight="1">
      <c r="A196" s="3">
        <v>294.0</v>
      </c>
      <c r="B196" s="3" t="s">
        <v>21</v>
      </c>
      <c r="C196" s="3">
        <v>19.8</v>
      </c>
      <c r="D196" s="3">
        <v>3000000.0</v>
      </c>
      <c r="E196" s="3">
        <v>8.3</v>
      </c>
      <c r="F196" s="3">
        <v>156.0</v>
      </c>
      <c r="G196" s="3">
        <v>4.0</v>
      </c>
      <c r="H196" s="3">
        <v>81.0</v>
      </c>
      <c r="I196" s="12">
        <v>1300000.0</v>
      </c>
    </row>
    <row r="197" ht="14.25" customHeight="1">
      <c r="A197" s="3">
        <v>295.0</v>
      </c>
      <c r="B197" s="3" t="s">
        <v>33</v>
      </c>
      <c r="C197" s="3">
        <v>21.3</v>
      </c>
      <c r="D197" s="3">
        <v>6000000.0</v>
      </c>
      <c r="E197" s="3">
        <v>4.0</v>
      </c>
      <c r="F197" s="3">
        <v>148.5</v>
      </c>
      <c r="G197" s="3">
        <v>3.0</v>
      </c>
      <c r="H197" s="3">
        <v>78.0</v>
      </c>
      <c r="I197" s="12">
        <v>2000000.0</v>
      </c>
    </row>
    <row r="198" ht="14.25" customHeight="1">
      <c r="A198" s="3">
        <v>296.0</v>
      </c>
      <c r="B198" s="3" t="s">
        <v>21</v>
      </c>
      <c r="C198" s="3">
        <v>23.4</v>
      </c>
      <c r="D198" s="3">
        <v>3.0E7</v>
      </c>
      <c r="E198" s="3">
        <v>7.3</v>
      </c>
      <c r="F198" s="3">
        <v>160.0</v>
      </c>
      <c r="G198" s="3">
        <v>5.0</v>
      </c>
      <c r="H198" s="3">
        <v>74.7</v>
      </c>
      <c r="I198" s="12">
        <v>2300000.0</v>
      </c>
    </row>
    <row r="199" ht="14.25" customHeight="1">
      <c r="A199" s="3">
        <v>297.0</v>
      </c>
      <c r="B199" s="3" t="s">
        <v>33</v>
      </c>
      <c r="C199" s="3">
        <v>24.3</v>
      </c>
      <c r="D199" s="3">
        <v>4200000.0</v>
      </c>
      <c r="E199" s="3">
        <v>12.0</v>
      </c>
      <c r="F199" s="3">
        <v>158.0</v>
      </c>
      <c r="G199" s="3">
        <v>6.0</v>
      </c>
      <c r="H199" s="3">
        <v>69.2</v>
      </c>
      <c r="I199" s="12">
        <v>2800000.0</v>
      </c>
    </row>
    <row r="200" ht="14.25" customHeight="1">
      <c r="A200" s="3">
        <v>298.0</v>
      </c>
      <c r="B200" s="3" t="s">
        <v>21</v>
      </c>
      <c r="C200" s="3">
        <v>30.0</v>
      </c>
      <c r="D200" s="3">
        <v>4030000.0</v>
      </c>
      <c r="E200" s="3">
        <v>10.1</v>
      </c>
      <c r="F200" s="3">
        <v>209.3</v>
      </c>
      <c r="G200" s="3">
        <v>7.0</v>
      </c>
      <c r="H200" s="3">
        <v>65.9</v>
      </c>
      <c r="I200" s="12">
        <v>3100000.0</v>
      </c>
    </row>
    <row r="201" ht="14.25" customHeight="1">
      <c r="A201" s="3">
        <v>299.0</v>
      </c>
      <c r="B201" s="3" t="s">
        <v>33</v>
      </c>
      <c r="C201" s="3">
        <v>30.0</v>
      </c>
      <c r="D201" s="3">
        <v>3.0E7</v>
      </c>
      <c r="E201" s="3">
        <v>3.2</v>
      </c>
      <c r="F201" s="3">
        <v>234.9</v>
      </c>
      <c r="G201" s="3">
        <v>7.2</v>
      </c>
      <c r="H201" s="3">
        <v>60.4</v>
      </c>
      <c r="I201" s="12">
        <v>3600000.0</v>
      </c>
    </row>
    <row r="202" ht="14.25" customHeight="1">
      <c r="A202" s="3">
        <v>300.0</v>
      </c>
      <c r="B202" s="3" t="s">
        <v>21</v>
      </c>
      <c r="C202" s="3">
        <v>30.0</v>
      </c>
      <c r="D202" s="3">
        <v>1.29E7</v>
      </c>
      <c r="E202" s="3">
        <v>9.3</v>
      </c>
      <c r="F202" s="3">
        <v>278.0</v>
      </c>
      <c r="G202" s="3">
        <v>8.6</v>
      </c>
      <c r="H202" s="3">
        <v>52.7</v>
      </c>
      <c r="I202" s="12">
        <v>4300000.0</v>
      </c>
    </row>
    <row r="203" ht="14.25" customHeight="1">
      <c r="A203" s="3">
        <v>301.0</v>
      </c>
      <c r="B203" s="3" t="s">
        <v>33</v>
      </c>
      <c r="C203" s="3">
        <v>30.0</v>
      </c>
      <c r="D203" s="3">
        <v>9200000.0</v>
      </c>
      <c r="E203" s="3">
        <v>16.0</v>
      </c>
      <c r="F203" s="3">
        <v>266.0</v>
      </c>
      <c r="G203" s="3">
        <v>10.0</v>
      </c>
      <c r="H203" s="3">
        <v>50.0</v>
      </c>
      <c r="I203" s="12">
        <v>4600000.0</v>
      </c>
    </row>
    <row r="204" ht="14.25" customHeight="1">
      <c r="A204" s="3">
        <v>302.0</v>
      </c>
      <c r="B204" s="3" t="s">
        <v>21</v>
      </c>
      <c r="C204" s="3">
        <v>20.0</v>
      </c>
      <c r="D204" s="3">
        <v>7650000.0</v>
      </c>
      <c r="E204" s="3">
        <v>12.1</v>
      </c>
      <c r="F204" s="3">
        <v>365.3</v>
      </c>
      <c r="G204" s="3">
        <v>12.0</v>
      </c>
      <c r="H204" s="3">
        <v>49.0</v>
      </c>
      <c r="I204" s="12">
        <v>5100000.0</v>
      </c>
    </row>
    <row r="205" ht="14.25" customHeight="1">
      <c r="A205" s="3">
        <v>303.0</v>
      </c>
      <c r="B205" s="3" t="s">
        <v>33</v>
      </c>
      <c r="C205" s="3">
        <v>20.0</v>
      </c>
      <c r="D205" s="3">
        <v>7540000.0</v>
      </c>
      <c r="E205" s="3">
        <v>7.6</v>
      </c>
      <c r="F205" s="3">
        <v>353.7</v>
      </c>
      <c r="G205" s="3">
        <v>11.0</v>
      </c>
      <c r="H205" s="3">
        <v>36.2</v>
      </c>
      <c r="I205" s="12">
        <v>5800000.0</v>
      </c>
    </row>
    <row r="206" ht="14.25" customHeight="1">
      <c r="A206" s="3">
        <v>304.0</v>
      </c>
      <c r="B206" s="3" t="s">
        <v>21</v>
      </c>
      <c r="C206" s="3">
        <v>20.0</v>
      </c>
      <c r="D206" s="3">
        <v>1.098E7</v>
      </c>
      <c r="E206" s="3">
        <v>11.1</v>
      </c>
      <c r="F206" s="3">
        <v>386.0</v>
      </c>
      <c r="G206" s="3">
        <v>10.0</v>
      </c>
      <c r="H206" s="3">
        <v>30.0</v>
      </c>
      <c r="I206" s="12">
        <v>6100000.0</v>
      </c>
    </row>
    <row r="207" ht="14.25" customHeight="1">
      <c r="A207" s="3">
        <v>305.0</v>
      </c>
      <c r="B207" s="3" t="s">
        <v>33</v>
      </c>
      <c r="C207" s="3">
        <v>19.8</v>
      </c>
      <c r="D207" s="3">
        <v>1.98E7</v>
      </c>
      <c r="E207" s="3">
        <v>1.6</v>
      </c>
      <c r="F207" s="3">
        <v>386.0</v>
      </c>
      <c r="G207" s="3">
        <v>13.2</v>
      </c>
      <c r="H207" s="3">
        <v>25.0</v>
      </c>
      <c r="I207" s="12">
        <v>6600000.0</v>
      </c>
    </row>
    <row r="208" ht="14.25" customHeight="1">
      <c r="A208" s="3">
        <v>306.0</v>
      </c>
      <c r="B208" s="3" t="s">
        <v>21</v>
      </c>
      <c r="C208" s="3">
        <v>21.9</v>
      </c>
      <c r="D208" s="3">
        <v>1.46E7</v>
      </c>
      <c r="E208" s="3">
        <v>14.3</v>
      </c>
      <c r="F208" s="3">
        <v>536.9</v>
      </c>
      <c r="G208" s="3">
        <v>14.6</v>
      </c>
      <c r="H208" s="3">
        <v>19.7</v>
      </c>
      <c r="I208" s="12">
        <v>7300000.0</v>
      </c>
    </row>
    <row r="209" ht="14.25" customHeight="1">
      <c r="A209" s="3">
        <v>307.0</v>
      </c>
      <c r="B209" s="3" t="s">
        <v>33</v>
      </c>
      <c r="C209" s="3">
        <v>22.8</v>
      </c>
      <c r="D209" s="3">
        <v>1.14E7</v>
      </c>
      <c r="E209" s="3">
        <v>11.2</v>
      </c>
      <c r="F209" s="3">
        <v>450.9</v>
      </c>
      <c r="G209" s="3">
        <v>15.0</v>
      </c>
      <c r="H209" s="3">
        <v>15.0</v>
      </c>
      <c r="I209" s="12">
        <v>7600000.0</v>
      </c>
    </row>
    <row r="210" ht="14.25" customHeight="1">
      <c r="A210" s="3">
        <v>308.0</v>
      </c>
      <c r="B210" s="3" t="s">
        <v>21</v>
      </c>
      <c r="C210" s="3">
        <v>24.3</v>
      </c>
      <c r="D210" s="3">
        <v>1.053E7</v>
      </c>
      <c r="E210" s="3">
        <v>13.1</v>
      </c>
      <c r="F210" s="3">
        <v>506.0</v>
      </c>
      <c r="G210" s="3">
        <v>17.0</v>
      </c>
      <c r="H210" s="3">
        <v>10.9</v>
      </c>
      <c r="I210" s="12">
        <v>8100000.0</v>
      </c>
    </row>
    <row r="211" ht="14.25" customHeight="1">
      <c r="A211" s="3">
        <v>309.0</v>
      </c>
      <c r="B211" s="3" t="s">
        <v>33</v>
      </c>
      <c r="C211" s="3">
        <v>25.8</v>
      </c>
      <c r="D211" s="3">
        <v>1.548E7</v>
      </c>
      <c r="E211" s="3">
        <v>3.6</v>
      </c>
      <c r="F211" s="3">
        <v>506.0</v>
      </c>
      <c r="G211" s="3">
        <v>17.2</v>
      </c>
      <c r="H211" s="3">
        <v>5.0</v>
      </c>
      <c r="I211" s="12">
        <v>8600000.0</v>
      </c>
    </row>
    <row r="212" ht="14.25" customHeight="1">
      <c r="A212" s="3">
        <v>310.0</v>
      </c>
      <c r="B212" s="3" t="s">
        <v>21</v>
      </c>
      <c r="C212" s="3">
        <v>27.9</v>
      </c>
      <c r="D212" s="3">
        <v>1.32E7</v>
      </c>
      <c r="E212" s="3">
        <v>16.3</v>
      </c>
      <c r="F212" s="3">
        <v>692.9</v>
      </c>
      <c r="G212" s="3">
        <v>18.6</v>
      </c>
      <c r="H212" s="3">
        <v>25.0</v>
      </c>
      <c r="I212" s="12">
        <v>9300000.0</v>
      </c>
    </row>
    <row r="213" ht="14.25" customHeight="1">
      <c r="A213" s="3">
        <v>311.0</v>
      </c>
      <c r="B213" s="3" t="s">
        <v>33</v>
      </c>
      <c r="C213" s="3">
        <v>28.8</v>
      </c>
      <c r="D213" s="3">
        <v>1.065E7</v>
      </c>
      <c r="E213" s="3">
        <v>15.2</v>
      </c>
      <c r="F213" s="3">
        <v>558.9</v>
      </c>
      <c r="G213" s="3">
        <v>19.2</v>
      </c>
      <c r="H213" s="3">
        <v>25.0</v>
      </c>
      <c r="I213" s="12">
        <v>9600000.0</v>
      </c>
    </row>
    <row r="214" ht="14.25" customHeight="1">
      <c r="A214" s="3">
        <v>312.0</v>
      </c>
      <c r="B214" s="3" t="s">
        <v>21</v>
      </c>
      <c r="C214" s="3">
        <v>20.2</v>
      </c>
      <c r="D214" s="3">
        <v>1.014E7</v>
      </c>
      <c r="E214" s="3">
        <v>15.1</v>
      </c>
      <c r="F214" s="3">
        <v>626.0</v>
      </c>
      <c r="G214" s="3">
        <v>20.2</v>
      </c>
      <c r="H214" s="3">
        <v>18.9</v>
      </c>
      <c r="I214" s="12">
        <v>1.01E7</v>
      </c>
    </row>
    <row r="215" ht="14.25" customHeight="1">
      <c r="A215" s="3">
        <v>313.0</v>
      </c>
      <c r="B215" s="3" t="s">
        <v>33</v>
      </c>
      <c r="C215" s="3">
        <v>21.6</v>
      </c>
      <c r="D215" s="3">
        <v>1.458E7</v>
      </c>
      <c r="E215" s="3">
        <v>5.8</v>
      </c>
      <c r="F215" s="3">
        <v>638.0</v>
      </c>
      <c r="G215" s="3">
        <v>21.6</v>
      </c>
      <c r="H215" s="3">
        <v>11.2</v>
      </c>
      <c r="I215" s="12">
        <v>1.08E7</v>
      </c>
    </row>
    <row r="216" ht="14.25" customHeight="1">
      <c r="A216" s="3">
        <v>314.0</v>
      </c>
      <c r="B216" s="3" t="s">
        <v>21</v>
      </c>
      <c r="C216" s="3">
        <v>22.2</v>
      </c>
      <c r="D216" s="3">
        <v>1.998E7</v>
      </c>
      <c r="E216" s="3">
        <v>18.1</v>
      </c>
      <c r="F216" s="3">
        <v>833.3</v>
      </c>
      <c r="G216" s="3">
        <v>27.0</v>
      </c>
      <c r="H216" s="3">
        <v>5.0</v>
      </c>
      <c r="I216" s="12">
        <v>1.11E7</v>
      </c>
    </row>
    <row r="217" ht="14.25" customHeight="1">
      <c r="A217" s="3">
        <v>315.0</v>
      </c>
      <c r="B217" s="3" t="s">
        <v>33</v>
      </c>
      <c r="C217" s="3">
        <v>23.2</v>
      </c>
      <c r="D217" s="3">
        <v>3.48E7</v>
      </c>
      <c r="E217" s="3">
        <v>19.2</v>
      </c>
      <c r="F217" s="3">
        <v>666.9</v>
      </c>
      <c r="G217" s="3">
        <v>25.0</v>
      </c>
      <c r="H217" s="3">
        <v>15.0</v>
      </c>
      <c r="I217" s="12">
        <v>1.16E7</v>
      </c>
    </row>
    <row r="218" ht="14.25" customHeight="1">
      <c r="A218" s="3">
        <v>316.0</v>
      </c>
      <c r="B218" s="3" t="s">
        <v>21</v>
      </c>
      <c r="C218" s="3">
        <v>24.6</v>
      </c>
      <c r="D218" s="3">
        <v>2.46E7</v>
      </c>
      <c r="E218" s="3">
        <v>17.3</v>
      </c>
      <c r="F218" s="3">
        <v>758.0</v>
      </c>
      <c r="G218" s="3">
        <v>23.0</v>
      </c>
      <c r="H218" s="3">
        <v>15.0</v>
      </c>
      <c r="I218" s="12">
        <v>1.23E7</v>
      </c>
    </row>
    <row r="219" ht="14.25" customHeight="1">
      <c r="A219" s="3">
        <v>317.0</v>
      </c>
      <c r="B219" s="3" t="s">
        <v>33</v>
      </c>
      <c r="C219" s="3">
        <v>25.6</v>
      </c>
      <c r="D219" s="3">
        <v>1.92E7</v>
      </c>
      <c r="E219" s="3">
        <v>7.8</v>
      </c>
      <c r="F219" s="3">
        <v>758.0</v>
      </c>
      <c r="G219" s="3">
        <v>22.0</v>
      </c>
      <c r="H219" s="3">
        <v>9.20000000000002</v>
      </c>
      <c r="I219" s="12">
        <v>1.28E7</v>
      </c>
    </row>
    <row r="220" ht="14.25" customHeight="1">
      <c r="A220" s="3">
        <v>318.0</v>
      </c>
      <c r="B220" s="3" t="s">
        <v>21</v>
      </c>
      <c r="C220" s="3">
        <v>27.0</v>
      </c>
      <c r="D220" s="3">
        <v>1.755E7</v>
      </c>
      <c r="E220" s="3">
        <v>20.5</v>
      </c>
      <c r="F220" s="3">
        <v>1020.5</v>
      </c>
      <c r="G220" s="3">
        <v>20.0</v>
      </c>
      <c r="H220" s="3">
        <v>15.0</v>
      </c>
      <c r="I220" s="12">
        <v>1.35E7</v>
      </c>
    </row>
    <row r="221" ht="14.25" customHeight="1">
      <c r="A221" s="3">
        <v>319.0</v>
      </c>
      <c r="B221" s="3" t="s">
        <v>33</v>
      </c>
      <c r="C221" s="3">
        <v>27.6</v>
      </c>
      <c r="D221" s="3">
        <v>2.484E7</v>
      </c>
      <c r="E221" s="3">
        <v>23.6</v>
      </c>
      <c r="F221" s="3">
        <v>785.7</v>
      </c>
      <c r="G221" s="3">
        <v>19.0</v>
      </c>
      <c r="H221" s="3">
        <v>15.0</v>
      </c>
      <c r="I221" s="12">
        <v>1.38E7</v>
      </c>
    </row>
    <row r="222" ht="14.25" customHeight="1">
      <c r="A222" s="3">
        <v>320.0</v>
      </c>
      <c r="B222" s="3" t="s">
        <v>21</v>
      </c>
      <c r="C222" s="3">
        <v>28.6</v>
      </c>
      <c r="D222" s="3">
        <v>1.5E7</v>
      </c>
      <c r="E222" s="3">
        <v>19.3</v>
      </c>
      <c r="F222" s="3">
        <v>878.0</v>
      </c>
      <c r="G222" s="3">
        <v>28.6</v>
      </c>
      <c r="H222" s="3">
        <v>5.0</v>
      </c>
      <c r="I222" s="12">
        <v>1.43E7</v>
      </c>
    </row>
    <row r="223" ht="14.25" customHeight="1">
      <c r="A223" s="3">
        <v>321.0</v>
      </c>
      <c r="B223" s="3" t="s">
        <v>33</v>
      </c>
      <c r="C223" s="3">
        <v>30.0</v>
      </c>
      <c r="D223" s="3">
        <v>1.32E7</v>
      </c>
      <c r="E223" s="3">
        <v>10.0</v>
      </c>
      <c r="F223" s="3">
        <v>890.0</v>
      </c>
      <c r="G223" s="3">
        <v>30.0</v>
      </c>
      <c r="H223" s="3">
        <v>15.0</v>
      </c>
      <c r="I223" s="12">
        <v>1.5E7</v>
      </c>
    </row>
    <row r="224" ht="14.25" customHeight="1">
      <c r="A224" s="3">
        <v>322.0</v>
      </c>
      <c r="B224" s="3" t="s">
        <v>21</v>
      </c>
      <c r="C224" s="3">
        <v>31.0</v>
      </c>
      <c r="D224" s="3">
        <v>1.065E7</v>
      </c>
      <c r="E224" s="3">
        <v>22.5</v>
      </c>
      <c r="F224" s="3">
        <v>1176.5</v>
      </c>
      <c r="G224" s="3">
        <v>31.0</v>
      </c>
      <c r="H224" s="3">
        <v>15.0</v>
      </c>
      <c r="I224" s="12">
        <v>1.55E7</v>
      </c>
    </row>
    <row r="225" ht="14.25" customHeight="1">
      <c r="A225" s="3">
        <v>323.0</v>
      </c>
      <c r="B225" s="3" t="s">
        <v>33</v>
      </c>
      <c r="C225" s="3">
        <v>32.4</v>
      </c>
      <c r="D225" s="3">
        <v>1.014E7</v>
      </c>
      <c r="E225" s="3">
        <v>28.4</v>
      </c>
      <c r="F225" s="3">
        <v>915.3</v>
      </c>
      <c r="G225" s="3">
        <v>32.4</v>
      </c>
      <c r="H225" s="3">
        <v>5.0</v>
      </c>
      <c r="I225" s="12">
        <v>1.62E7</v>
      </c>
    </row>
    <row r="226" ht="14.25" customHeight="1">
      <c r="A226" s="3">
        <v>324.0</v>
      </c>
      <c r="B226" s="3" t="s">
        <v>21</v>
      </c>
      <c r="C226" s="3">
        <v>33.4</v>
      </c>
      <c r="D226" s="3">
        <v>1.458E7</v>
      </c>
      <c r="E226" s="3">
        <v>21.7</v>
      </c>
      <c r="F226" s="3">
        <v>1022.0</v>
      </c>
      <c r="G226" s="3">
        <v>33.4</v>
      </c>
      <c r="H226" s="3">
        <v>4.0</v>
      </c>
      <c r="I226" s="12">
        <v>1.67E7</v>
      </c>
    </row>
    <row r="227" ht="14.25" customHeight="1">
      <c r="A227" s="3">
        <v>325.0</v>
      </c>
      <c r="B227" s="3" t="s">
        <v>33</v>
      </c>
      <c r="C227" s="3">
        <v>34.8</v>
      </c>
      <c r="D227" s="3">
        <v>1.5E7</v>
      </c>
      <c r="E227" s="3">
        <v>12.4</v>
      </c>
      <c r="F227" s="3">
        <v>1034.0</v>
      </c>
      <c r="G227" s="3">
        <v>34.8</v>
      </c>
      <c r="H227" s="3">
        <v>4.0</v>
      </c>
      <c r="I227" s="12">
        <v>1.74E7</v>
      </c>
    </row>
    <row r="228" ht="14.25" customHeight="1">
      <c r="A228" s="3">
        <v>326.0</v>
      </c>
      <c r="B228" s="3" t="s">
        <v>21</v>
      </c>
      <c r="C228" s="3">
        <v>35.4</v>
      </c>
      <c r="D228" s="3">
        <v>3.54E7</v>
      </c>
      <c r="E228" s="3">
        <v>24.7</v>
      </c>
      <c r="F228" s="3">
        <v>1348.1</v>
      </c>
      <c r="G228" s="3">
        <v>33.0</v>
      </c>
      <c r="H228" s="3">
        <v>4.0</v>
      </c>
      <c r="I228" s="12">
        <v>1.77E7</v>
      </c>
    </row>
    <row r="229" ht="14.25" customHeight="1">
      <c r="A229" s="3">
        <v>327.0</v>
      </c>
      <c r="B229" s="3" t="s">
        <v>33</v>
      </c>
      <c r="C229" s="3">
        <v>21.0</v>
      </c>
      <c r="D229" s="3">
        <v>1.32E7</v>
      </c>
      <c r="E229" s="3">
        <v>12.0</v>
      </c>
      <c r="F229" s="3">
        <v>148.5</v>
      </c>
      <c r="G229" s="3">
        <v>8.0</v>
      </c>
      <c r="H229" s="3">
        <v>65.0</v>
      </c>
      <c r="I229" s="12">
        <v>1700000.0</v>
      </c>
    </row>
    <row r="230" ht="14.25" customHeight="1">
      <c r="A230" s="3">
        <v>328.0</v>
      </c>
      <c r="B230" s="3" t="s">
        <v>21</v>
      </c>
      <c r="C230" s="3">
        <v>21.0</v>
      </c>
      <c r="D230" s="3">
        <v>1.065E7</v>
      </c>
      <c r="E230" s="3">
        <v>6.0</v>
      </c>
      <c r="F230" s="3">
        <v>160.0</v>
      </c>
      <c r="G230" s="3">
        <v>4.0</v>
      </c>
      <c r="H230" s="3">
        <v>78.0</v>
      </c>
      <c r="I230" s="12">
        <v>2000000.0</v>
      </c>
    </row>
    <row r="231" ht="14.25" customHeight="1">
      <c r="A231" s="3">
        <v>329.0</v>
      </c>
      <c r="B231" s="3" t="s">
        <v>33</v>
      </c>
      <c r="C231" s="3">
        <v>25.0</v>
      </c>
      <c r="D231" s="3">
        <v>1.014E7</v>
      </c>
      <c r="E231" s="3">
        <v>5.5</v>
      </c>
      <c r="F231" s="3">
        <v>140.0</v>
      </c>
      <c r="G231" s="3">
        <v>5.0</v>
      </c>
      <c r="H231" s="3">
        <v>72.5</v>
      </c>
      <c r="I231" s="12">
        <v>2500000.0</v>
      </c>
    </row>
    <row r="232" ht="14.25" customHeight="1">
      <c r="A232" s="3">
        <v>330.0</v>
      </c>
      <c r="B232" s="3" t="s">
        <v>21</v>
      </c>
      <c r="C232" s="3">
        <v>24.0</v>
      </c>
      <c r="D232" s="3">
        <v>1.458E7</v>
      </c>
      <c r="E232" s="3">
        <v>1.2</v>
      </c>
      <c r="F232" s="3">
        <v>217.1</v>
      </c>
      <c r="G232" s="3">
        <v>6.0</v>
      </c>
      <c r="H232" s="3">
        <v>64.8</v>
      </c>
      <c r="I232" s="12">
        <v>3200000.0</v>
      </c>
    </row>
    <row r="233" ht="14.25" customHeight="1">
      <c r="A233" s="3">
        <v>331.0</v>
      </c>
      <c r="B233" s="3" t="s">
        <v>33</v>
      </c>
      <c r="C233" s="3">
        <v>24.0</v>
      </c>
      <c r="D233" s="3">
        <v>7000000.0</v>
      </c>
      <c r="E233" s="3">
        <v>6.5</v>
      </c>
      <c r="F233" s="3">
        <v>229.5</v>
      </c>
      <c r="G233" s="3">
        <v>7.0</v>
      </c>
      <c r="H233" s="3">
        <v>61.5</v>
      </c>
      <c r="I233" s="12">
        <v>3500000.0</v>
      </c>
    </row>
    <row r="234" ht="14.25" customHeight="1">
      <c r="A234" s="3">
        <v>332.0</v>
      </c>
      <c r="B234" s="3" t="s">
        <v>21</v>
      </c>
      <c r="C234" s="3">
        <v>24.0</v>
      </c>
      <c r="D234" s="3">
        <v>3.0E7</v>
      </c>
      <c r="E234" s="3">
        <v>10.0</v>
      </c>
      <c r="F234" s="3">
        <v>260.0</v>
      </c>
      <c r="G234" s="3">
        <v>8.0</v>
      </c>
      <c r="H234" s="3">
        <v>56.0</v>
      </c>
      <c r="I234" s="12">
        <v>4000000.0</v>
      </c>
    </row>
    <row r="235" ht="14.25" customHeight="1">
      <c r="A235" s="3">
        <v>333.0</v>
      </c>
      <c r="B235" s="3" t="s">
        <v>33</v>
      </c>
      <c r="C235" s="3">
        <v>27.0</v>
      </c>
      <c r="D235" s="3">
        <v>5590000.0</v>
      </c>
      <c r="E235" s="3">
        <v>7.3</v>
      </c>
      <c r="F235" s="3">
        <v>248.0</v>
      </c>
      <c r="G235" s="3">
        <v>8.6</v>
      </c>
      <c r="H235" s="3">
        <v>52.7</v>
      </c>
      <c r="I235" s="12">
        <v>4300000.0</v>
      </c>
    </row>
    <row r="236" ht="14.25" customHeight="1">
      <c r="A236" s="3">
        <v>334.0</v>
      </c>
      <c r="B236" s="3" t="s">
        <v>21</v>
      </c>
      <c r="C236" s="3">
        <v>27.0</v>
      </c>
      <c r="D236" s="3">
        <v>3.0E7</v>
      </c>
      <c r="E236" s="3">
        <v>2.8</v>
      </c>
      <c r="F236" s="3">
        <v>341.9</v>
      </c>
      <c r="G236" s="3">
        <v>9.0</v>
      </c>
      <c r="H236" s="3">
        <v>52.0</v>
      </c>
      <c r="I236" s="12">
        <v>4800000.0</v>
      </c>
    </row>
    <row r="237" ht="14.25" customHeight="1">
      <c r="A237" s="3">
        <v>335.0</v>
      </c>
      <c r="B237" s="3" t="s">
        <v>33</v>
      </c>
      <c r="C237" s="3">
        <v>22.0</v>
      </c>
      <c r="D237" s="3">
        <v>1.65E7</v>
      </c>
      <c r="E237" s="3">
        <v>8.5</v>
      </c>
      <c r="F237" s="3">
        <v>337.5</v>
      </c>
      <c r="G237" s="3">
        <v>8.0</v>
      </c>
      <c r="H237" s="3">
        <v>39.5</v>
      </c>
      <c r="I237" s="12">
        <v>5500000.0</v>
      </c>
    </row>
    <row r="238" ht="14.25" customHeight="1">
      <c r="A238" s="3">
        <v>336.0</v>
      </c>
      <c r="B238" s="3" t="s">
        <v>21</v>
      </c>
      <c r="C238" s="3">
        <v>22.0</v>
      </c>
      <c r="D238" s="3">
        <v>1.16E7</v>
      </c>
      <c r="E238" s="3">
        <v>13.6</v>
      </c>
      <c r="F238" s="3">
        <v>368.0</v>
      </c>
      <c r="G238" s="3">
        <v>9.0</v>
      </c>
      <c r="H238" s="3">
        <v>36.2</v>
      </c>
      <c r="I238" s="12">
        <v>5800000.0</v>
      </c>
    </row>
    <row r="239" ht="14.25" customHeight="1">
      <c r="A239" s="3">
        <v>337.0</v>
      </c>
      <c r="B239" s="3" t="s">
        <v>33</v>
      </c>
      <c r="C239" s="3">
        <v>30.0</v>
      </c>
      <c r="D239" s="3">
        <v>9450000.0</v>
      </c>
      <c r="E239" s="3">
        <v>9.3</v>
      </c>
      <c r="F239" s="3">
        <v>368.0</v>
      </c>
      <c r="G239" s="3">
        <v>11.0</v>
      </c>
      <c r="H239" s="3">
        <v>30.7</v>
      </c>
      <c r="I239" s="12">
        <v>6300000.0</v>
      </c>
    </row>
    <row r="240" ht="14.25" customHeight="1">
      <c r="A240" s="3">
        <v>338.0</v>
      </c>
      <c r="B240" s="3" t="s">
        <v>21</v>
      </c>
      <c r="C240" s="3">
        <v>30.0</v>
      </c>
      <c r="D240" s="3">
        <v>3.0E7</v>
      </c>
      <c r="E240" s="3">
        <v>5.0</v>
      </c>
      <c r="F240" s="3">
        <v>513.5</v>
      </c>
      <c r="G240" s="3">
        <v>14.0</v>
      </c>
      <c r="H240" s="3">
        <v>25.0</v>
      </c>
      <c r="I240" s="12">
        <v>7000000.0</v>
      </c>
    </row>
    <row r="241" ht="14.25" customHeight="1">
      <c r="A241" s="3">
        <v>339.0</v>
      </c>
      <c r="B241" s="3" t="s">
        <v>33</v>
      </c>
      <c r="C241" s="3">
        <v>30.0</v>
      </c>
      <c r="D241" s="3">
        <v>1.314E7</v>
      </c>
      <c r="E241" s="3">
        <v>10.3</v>
      </c>
      <c r="F241" s="3">
        <v>434.7</v>
      </c>
      <c r="G241" s="3">
        <v>14.6</v>
      </c>
      <c r="H241" s="3">
        <v>19.7</v>
      </c>
      <c r="I241" s="12">
        <v>7300000.0</v>
      </c>
    </row>
    <row r="242" ht="14.25" customHeight="1">
      <c r="A242" s="3">
        <v>340.0</v>
      </c>
      <c r="B242" s="3" t="s">
        <v>21</v>
      </c>
      <c r="C242" s="3">
        <v>30.0</v>
      </c>
      <c r="D242" s="3">
        <v>2.34E7</v>
      </c>
      <c r="E242" s="3">
        <v>17.6</v>
      </c>
      <c r="F242" s="3">
        <v>448.0</v>
      </c>
      <c r="G242" s="3">
        <v>16.0</v>
      </c>
      <c r="H242" s="3">
        <v>15.0</v>
      </c>
      <c r="I242" s="12">
        <v>7800000.0</v>
      </c>
    </row>
    <row r="243" ht="14.25" customHeight="1">
      <c r="A243" s="3">
        <v>341.0</v>
      </c>
      <c r="B243" s="3" t="s">
        <v>33</v>
      </c>
      <c r="C243" s="3">
        <v>20.0</v>
      </c>
      <c r="D243" s="3">
        <v>1.7E7</v>
      </c>
      <c r="E243" s="3">
        <v>11.5</v>
      </c>
      <c r="F243" s="3">
        <v>540.0</v>
      </c>
      <c r="G243" s="3">
        <v>18.0</v>
      </c>
      <c r="H243" s="3">
        <v>5.0</v>
      </c>
      <c r="I243" s="12">
        <v>8500000.0</v>
      </c>
    </row>
    <row r="244" ht="14.25" customHeight="1">
      <c r="A244" s="3">
        <v>342.0</v>
      </c>
      <c r="B244" s="3" t="s">
        <v>21</v>
      </c>
      <c r="C244" s="3">
        <v>20.0</v>
      </c>
      <c r="D244" s="3">
        <v>1.32E7</v>
      </c>
      <c r="E244" s="3">
        <v>6.8</v>
      </c>
      <c r="F244" s="3">
        <v>503.0</v>
      </c>
      <c r="G244" s="3">
        <v>17.6</v>
      </c>
      <c r="H244" s="3">
        <v>15.0</v>
      </c>
      <c r="I244" s="12">
        <v>8800000.0</v>
      </c>
    </row>
    <row r="245" ht="14.25" customHeight="1">
      <c r="A245" s="3">
        <v>343.0</v>
      </c>
      <c r="B245" s="3" t="s">
        <v>33</v>
      </c>
      <c r="C245" s="3">
        <v>20.0</v>
      </c>
      <c r="D245" s="3">
        <v>1.209E7</v>
      </c>
      <c r="E245" s="3">
        <v>12.3</v>
      </c>
      <c r="F245" s="3">
        <v>603.0</v>
      </c>
      <c r="G245" s="3">
        <v>18.6</v>
      </c>
      <c r="H245" s="3">
        <v>25.0</v>
      </c>
      <c r="I245" s="12">
        <v>9300000.0</v>
      </c>
    </row>
    <row r="246" ht="14.25" customHeight="1">
      <c r="A246" s="3">
        <v>344.0</v>
      </c>
      <c r="B246" s="3" t="s">
        <v>21</v>
      </c>
      <c r="C246" s="3">
        <v>29.4</v>
      </c>
      <c r="D246" s="3">
        <v>1.764E7</v>
      </c>
      <c r="E246" s="3">
        <v>21.6</v>
      </c>
      <c r="F246" s="3">
        <v>568.0</v>
      </c>
      <c r="G246" s="3">
        <v>19.6</v>
      </c>
      <c r="H246" s="3">
        <v>25.0</v>
      </c>
      <c r="I246" s="12">
        <v>9800000.0</v>
      </c>
    </row>
    <row r="247" ht="14.25" customHeight="1">
      <c r="A247" s="3">
        <v>345.0</v>
      </c>
      <c r="B247" s="3" t="s">
        <v>33</v>
      </c>
      <c r="C247" s="3">
        <v>21.0</v>
      </c>
      <c r="D247" s="3">
        <v>3.15E7</v>
      </c>
      <c r="E247" s="3">
        <v>13.5</v>
      </c>
      <c r="F247" s="3">
        <v>660.0</v>
      </c>
      <c r="G247" s="3">
        <v>21.0</v>
      </c>
      <c r="H247" s="3">
        <v>15.0</v>
      </c>
      <c r="I247" s="12">
        <v>1.05E7</v>
      </c>
    </row>
    <row r="248" ht="14.25" customHeight="1">
      <c r="A248" s="3">
        <v>346.0</v>
      </c>
      <c r="B248" s="3" t="s">
        <v>21</v>
      </c>
      <c r="C248" s="3">
        <v>21.6</v>
      </c>
      <c r="D248" s="3">
        <v>2.16E7</v>
      </c>
      <c r="E248" s="3">
        <v>8.8</v>
      </c>
      <c r="F248" s="3">
        <v>623.0</v>
      </c>
      <c r="G248" s="3">
        <v>21.6</v>
      </c>
      <c r="H248" s="3">
        <v>11.2</v>
      </c>
      <c r="I248" s="12">
        <v>1.08E7</v>
      </c>
    </row>
    <row r="249" ht="14.25" customHeight="1">
      <c r="A249" s="3">
        <v>347.0</v>
      </c>
      <c r="B249" s="3" t="s">
        <v>33</v>
      </c>
      <c r="C249" s="3">
        <v>22.6</v>
      </c>
      <c r="D249" s="3">
        <v>1.695E7</v>
      </c>
      <c r="E249" s="3">
        <v>14.3</v>
      </c>
      <c r="F249" s="3">
        <v>723.0</v>
      </c>
      <c r="G249" s="3">
        <v>21.0</v>
      </c>
      <c r="H249" s="3">
        <v>5.0</v>
      </c>
      <c r="I249" s="12">
        <v>1.13E7</v>
      </c>
    </row>
    <row r="250" ht="14.25" customHeight="1">
      <c r="A250" s="3">
        <v>348.0</v>
      </c>
      <c r="B250" s="3" t="s">
        <v>21</v>
      </c>
      <c r="C250" s="3">
        <v>24.0</v>
      </c>
      <c r="D250" s="3">
        <v>1.56E7</v>
      </c>
      <c r="E250" s="3">
        <v>26.0</v>
      </c>
      <c r="F250" s="3">
        <v>700.0</v>
      </c>
      <c r="G250" s="3">
        <v>23.0</v>
      </c>
      <c r="H250" s="3">
        <v>15.0</v>
      </c>
      <c r="I250" s="12">
        <v>1.2E7</v>
      </c>
    </row>
    <row r="251" ht="14.25" customHeight="1">
      <c r="A251" s="3">
        <v>349.0</v>
      </c>
      <c r="B251" s="3" t="s">
        <v>33</v>
      </c>
      <c r="C251" s="3">
        <v>24.6</v>
      </c>
      <c r="D251" s="3">
        <v>2.214E7</v>
      </c>
      <c r="E251" s="3">
        <v>15.3</v>
      </c>
      <c r="F251" s="3">
        <v>768.0</v>
      </c>
      <c r="G251" s="3">
        <v>28.0</v>
      </c>
      <c r="H251" s="3">
        <v>15.0</v>
      </c>
      <c r="I251" s="12">
        <v>1.23E7</v>
      </c>
    </row>
    <row r="252" ht="14.25" customHeight="1">
      <c r="A252" s="3">
        <v>350.0</v>
      </c>
      <c r="B252" s="3" t="s">
        <v>21</v>
      </c>
      <c r="C252" s="3">
        <v>25.6</v>
      </c>
      <c r="D252" s="3">
        <v>1.5E7</v>
      </c>
      <c r="E252" s="3">
        <v>10.8</v>
      </c>
      <c r="F252" s="3">
        <v>743.0</v>
      </c>
      <c r="G252" s="3">
        <v>27.0</v>
      </c>
      <c r="H252" s="3">
        <v>9.20000000000002</v>
      </c>
      <c r="I252" s="12">
        <v>1.28E7</v>
      </c>
    </row>
    <row r="253" ht="14.25" customHeight="1">
      <c r="A253" s="3">
        <v>351.0</v>
      </c>
      <c r="B253" s="3" t="s">
        <v>33</v>
      </c>
      <c r="C253" s="3">
        <v>27.0</v>
      </c>
      <c r="D253" s="3">
        <v>2.7E7</v>
      </c>
      <c r="E253" s="3">
        <v>16.5</v>
      </c>
      <c r="F253" s="3">
        <v>855.0</v>
      </c>
      <c r="G253" s="3">
        <v>25.0</v>
      </c>
      <c r="H253" s="3">
        <v>15.0</v>
      </c>
      <c r="I253" s="12">
        <v>1.35E7</v>
      </c>
    </row>
    <row r="254" ht="14.25" customHeight="1">
      <c r="A254" s="3">
        <v>352.0</v>
      </c>
      <c r="B254" s="3" t="s">
        <v>21</v>
      </c>
      <c r="C254" s="3">
        <v>28.0</v>
      </c>
      <c r="D254" s="3">
        <v>2.1E7</v>
      </c>
      <c r="E254" s="3">
        <v>30.0</v>
      </c>
      <c r="F254" s="3">
        <v>820.0</v>
      </c>
      <c r="G254" s="3">
        <v>23.0</v>
      </c>
      <c r="H254" s="3">
        <v>11.0</v>
      </c>
      <c r="I254" s="12">
        <v>1.4E7</v>
      </c>
    </row>
    <row r="255" ht="14.25" customHeight="1">
      <c r="A255" s="3">
        <v>353.0</v>
      </c>
      <c r="B255" s="3" t="s">
        <v>33</v>
      </c>
      <c r="C255" s="3">
        <v>29.4</v>
      </c>
      <c r="D255" s="3">
        <v>1.911E7</v>
      </c>
      <c r="E255" s="3">
        <v>17.7</v>
      </c>
      <c r="F255" s="3">
        <v>912.0</v>
      </c>
      <c r="G255" s="3">
        <v>29.4</v>
      </c>
      <c r="H255" s="3">
        <v>15.0</v>
      </c>
      <c r="I255" s="12">
        <v>1.47E7</v>
      </c>
    </row>
    <row r="256" ht="14.25" customHeight="1">
      <c r="A256" s="3">
        <v>354.0</v>
      </c>
      <c r="B256" s="3" t="s">
        <v>21</v>
      </c>
      <c r="C256" s="3">
        <v>30.0</v>
      </c>
      <c r="D256" s="3">
        <v>2.7E7</v>
      </c>
      <c r="E256" s="3">
        <v>13.0</v>
      </c>
      <c r="F256" s="3">
        <v>875.0</v>
      </c>
      <c r="G256" s="3">
        <v>30.0</v>
      </c>
      <c r="H256" s="3">
        <v>15.0</v>
      </c>
      <c r="I256" s="12">
        <v>1.5E7</v>
      </c>
    </row>
    <row r="257" ht="14.25" customHeight="1">
      <c r="A257" s="3">
        <v>355.0</v>
      </c>
      <c r="B257" s="3" t="s">
        <v>33</v>
      </c>
      <c r="C257" s="3">
        <v>31.0</v>
      </c>
      <c r="D257" s="3">
        <v>1.5E7</v>
      </c>
      <c r="E257" s="3">
        <v>18.5</v>
      </c>
      <c r="F257" s="3">
        <v>975.0</v>
      </c>
      <c r="G257" s="3">
        <v>31.0</v>
      </c>
      <c r="H257" s="3">
        <v>15.0</v>
      </c>
      <c r="I257" s="12">
        <v>1.55E7</v>
      </c>
    </row>
    <row r="258" ht="14.25" customHeight="1">
      <c r="A258" s="3">
        <v>356.0</v>
      </c>
      <c r="B258" s="3" t="s">
        <v>21</v>
      </c>
      <c r="C258" s="3">
        <v>32.4</v>
      </c>
      <c r="D258" s="3">
        <v>3.24E7</v>
      </c>
      <c r="E258" s="3">
        <v>34.4</v>
      </c>
      <c r="F258" s="3">
        <v>952.0</v>
      </c>
      <c r="G258" s="3">
        <v>32.4</v>
      </c>
      <c r="H258" s="3">
        <v>4.0</v>
      </c>
      <c r="I258" s="12">
        <v>1.62E7</v>
      </c>
    </row>
    <row r="259" ht="14.25" customHeight="1">
      <c r="A259" s="3">
        <v>357.0</v>
      </c>
      <c r="B259" s="3" t="s">
        <v>33</v>
      </c>
      <c r="C259" s="3">
        <v>33.4</v>
      </c>
      <c r="D259" s="3">
        <v>2.505E7</v>
      </c>
      <c r="E259" s="3">
        <v>19.7</v>
      </c>
      <c r="F259" s="3">
        <v>1032.0</v>
      </c>
      <c r="G259" s="3">
        <v>33.4</v>
      </c>
      <c r="H259" s="3">
        <v>4.0</v>
      </c>
      <c r="I259" s="12">
        <v>1.67E7</v>
      </c>
    </row>
    <row r="260" ht="14.25" customHeight="1">
      <c r="A260" s="3">
        <v>358.0</v>
      </c>
      <c r="B260" s="3" t="s">
        <v>21</v>
      </c>
      <c r="C260" s="3">
        <v>34.8</v>
      </c>
      <c r="D260" s="3">
        <v>2.262E7</v>
      </c>
      <c r="E260" s="3">
        <v>15.4</v>
      </c>
      <c r="F260" s="3">
        <v>1019.0</v>
      </c>
      <c r="G260" s="3">
        <v>34.8</v>
      </c>
      <c r="H260" s="3">
        <v>5.0</v>
      </c>
      <c r="I260" s="12">
        <v>1.74E7</v>
      </c>
    </row>
    <row r="261" ht="14.25" customHeight="1">
      <c r="A261" s="3">
        <v>359.0</v>
      </c>
      <c r="B261" s="3" t="s">
        <v>33</v>
      </c>
      <c r="C261" s="3">
        <v>35.8</v>
      </c>
      <c r="D261" s="3">
        <v>3.222E7</v>
      </c>
      <c r="E261" s="3">
        <v>20.9</v>
      </c>
      <c r="F261" s="3">
        <v>1119.0</v>
      </c>
      <c r="G261" s="3">
        <v>30.0</v>
      </c>
      <c r="H261" s="3">
        <v>5.0</v>
      </c>
      <c r="I261" s="12">
        <v>1.79E7</v>
      </c>
    </row>
    <row r="262" ht="14.25" customHeight="1">
      <c r="A262" s="3">
        <v>360.0</v>
      </c>
      <c r="B262" s="3" t="s">
        <v>21</v>
      </c>
      <c r="C262" s="3">
        <v>37.2</v>
      </c>
      <c r="D262" s="3">
        <v>3.0E7</v>
      </c>
      <c r="E262" s="3">
        <v>39.2</v>
      </c>
      <c r="F262" s="3">
        <v>1096.0</v>
      </c>
      <c r="G262" s="3">
        <v>35.0</v>
      </c>
      <c r="H262" s="3">
        <v>5.0</v>
      </c>
      <c r="I262" s="12">
        <v>1.86E7</v>
      </c>
    </row>
    <row r="263" ht="14.25" customHeight="1">
      <c r="A263" s="3">
        <v>361.0</v>
      </c>
      <c r="B263" s="3" t="s">
        <v>33</v>
      </c>
      <c r="C263" s="3">
        <v>37.8</v>
      </c>
      <c r="D263" s="3">
        <v>3.78E7</v>
      </c>
      <c r="E263" s="3">
        <v>21.9</v>
      </c>
      <c r="F263" s="3">
        <v>1164.0</v>
      </c>
      <c r="G263" s="3">
        <v>37.0</v>
      </c>
      <c r="H263" s="3">
        <v>5.0</v>
      </c>
      <c r="I263" s="12">
        <v>1.89E7</v>
      </c>
    </row>
    <row r="264" ht="14.25" customHeight="1">
      <c r="A264" s="3">
        <v>362.0</v>
      </c>
      <c r="B264" s="3" t="s">
        <v>21</v>
      </c>
      <c r="C264" s="3">
        <v>25.0</v>
      </c>
      <c r="D264" s="3">
        <v>3300000.0</v>
      </c>
      <c r="E264" s="3">
        <v>12.0</v>
      </c>
      <c r="F264" s="3">
        <v>120.0</v>
      </c>
      <c r="G264" s="3">
        <v>7.0</v>
      </c>
      <c r="H264" s="3">
        <v>75.8</v>
      </c>
      <c r="I264" s="12">
        <v>2200000.0</v>
      </c>
    </row>
    <row r="265" ht="14.25" customHeight="1">
      <c r="A265" s="3">
        <v>363.0</v>
      </c>
      <c r="B265" s="3" t="s">
        <v>33</v>
      </c>
      <c r="C265" s="3">
        <v>25.0</v>
      </c>
      <c r="D265" s="3">
        <v>3.0E7</v>
      </c>
      <c r="E265" s="3">
        <v>5.5</v>
      </c>
      <c r="F265" s="3">
        <v>195.0</v>
      </c>
      <c r="G265" s="3">
        <v>8.0</v>
      </c>
      <c r="H265" s="3">
        <v>72.5</v>
      </c>
      <c r="I265" s="12">
        <v>2500000.0</v>
      </c>
    </row>
    <row r="266" ht="14.25" customHeight="1">
      <c r="A266" s="3">
        <v>364.0</v>
      </c>
      <c r="B266" s="3" t="s">
        <v>21</v>
      </c>
      <c r="C266" s="3">
        <v>25.0</v>
      </c>
      <c r="D266" s="3">
        <v>5400000.0</v>
      </c>
      <c r="E266" s="3">
        <v>8.0</v>
      </c>
      <c r="F266" s="3">
        <v>160.0</v>
      </c>
      <c r="G266" s="3">
        <v>4.0</v>
      </c>
      <c r="H266" s="3">
        <v>67.0</v>
      </c>
      <c r="I266" s="12">
        <v>3000000.0</v>
      </c>
    </row>
    <row r="267" ht="14.25" customHeight="1">
      <c r="A267" s="3">
        <v>365.0</v>
      </c>
      <c r="B267" s="3" t="s">
        <v>33</v>
      </c>
      <c r="C267" s="3">
        <v>24.0</v>
      </c>
      <c r="D267" s="3">
        <v>1.11E7</v>
      </c>
      <c r="E267" s="3">
        <v>6.7</v>
      </c>
      <c r="F267" s="3">
        <v>252.0</v>
      </c>
      <c r="G267" s="3">
        <v>7.4</v>
      </c>
      <c r="H267" s="3">
        <v>59.3</v>
      </c>
      <c r="I267" s="12">
        <v>3700000.0</v>
      </c>
    </row>
    <row r="268" ht="14.25" customHeight="1">
      <c r="A268" s="3">
        <v>366.0</v>
      </c>
      <c r="B268" s="3" t="s">
        <v>21</v>
      </c>
      <c r="C268" s="3">
        <v>24.0</v>
      </c>
      <c r="D268" s="3">
        <v>8000000.0</v>
      </c>
      <c r="E268" s="3">
        <v>2.0</v>
      </c>
      <c r="F268" s="3">
        <v>215.0</v>
      </c>
      <c r="G268" s="3">
        <v>8.0</v>
      </c>
      <c r="H268" s="3">
        <v>56.0</v>
      </c>
      <c r="I268" s="12">
        <v>4000000.0</v>
      </c>
    </row>
    <row r="269" ht="14.25" customHeight="1">
      <c r="A269" s="3">
        <v>367.0</v>
      </c>
      <c r="B269" s="3" t="s">
        <v>33</v>
      </c>
      <c r="C269" s="3">
        <v>27.0</v>
      </c>
      <c r="D269" s="3">
        <v>6750000.0</v>
      </c>
      <c r="E269" s="3">
        <v>7.5</v>
      </c>
      <c r="F269" s="3">
        <v>315.0</v>
      </c>
      <c r="G269" s="3">
        <v>10.0</v>
      </c>
      <c r="H269" s="3">
        <v>50.5</v>
      </c>
      <c r="I269" s="12">
        <v>4500000.0</v>
      </c>
    </row>
    <row r="270" ht="14.25" customHeight="1">
      <c r="A270" s="3">
        <v>368.0</v>
      </c>
      <c r="B270" s="3" t="s">
        <v>21</v>
      </c>
      <c r="C270" s="3">
        <v>27.0</v>
      </c>
      <c r="D270" s="3">
        <v>6240000.0</v>
      </c>
      <c r="E270" s="3">
        <v>11.6</v>
      </c>
      <c r="F270" s="3">
        <v>268.0</v>
      </c>
      <c r="G270" s="3">
        <v>9.0</v>
      </c>
      <c r="H270" s="3">
        <v>51.0</v>
      </c>
      <c r="I270" s="12">
        <v>4800000.0</v>
      </c>
    </row>
    <row r="271" ht="14.25" customHeight="1">
      <c r="A271" s="3">
        <v>369.0</v>
      </c>
      <c r="B271" s="3" t="s">
        <v>33</v>
      </c>
      <c r="C271" s="3">
        <v>22.0</v>
      </c>
      <c r="D271" s="3">
        <v>9540000.0</v>
      </c>
      <c r="E271" s="3">
        <v>8.3</v>
      </c>
      <c r="F271" s="3">
        <v>348.0</v>
      </c>
      <c r="G271" s="3">
        <v>8.0</v>
      </c>
      <c r="H271" s="3">
        <v>53.0</v>
      </c>
      <c r="I271" s="12">
        <v>5300000.0</v>
      </c>
    </row>
    <row r="272" ht="14.25" customHeight="1">
      <c r="A272" s="3">
        <v>370.0</v>
      </c>
      <c r="B272" s="3" t="s">
        <v>21</v>
      </c>
      <c r="C272" s="3">
        <v>22.0</v>
      </c>
      <c r="D272" s="3">
        <v>1.8E7</v>
      </c>
      <c r="E272" s="3">
        <v>4.0</v>
      </c>
      <c r="F272" s="3">
        <v>335.0</v>
      </c>
      <c r="G272" s="3">
        <v>9.0</v>
      </c>
      <c r="H272" s="3">
        <v>30.0</v>
      </c>
      <c r="I272" s="12">
        <v>6000000.0</v>
      </c>
    </row>
    <row r="273" ht="14.25" customHeight="1">
      <c r="A273" s="3">
        <v>371.0</v>
      </c>
      <c r="B273" s="3" t="s">
        <v>33</v>
      </c>
      <c r="C273" s="3">
        <v>22.0</v>
      </c>
      <c r="D273" s="3">
        <v>1.26E7</v>
      </c>
      <c r="E273" s="3">
        <v>9.3</v>
      </c>
      <c r="F273" s="3">
        <v>423.0</v>
      </c>
      <c r="G273" s="3">
        <v>10.0</v>
      </c>
      <c r="H273" s="3">
        <v>30.7</v>
      </c>
      <c r="I273" s="12">
        <v>6300000.0</v>
      </c>
    </row>
    <row r="274" ht="14.25" customHeight="1">
      <c r="A274" s="3">
        <v>372.0</v>
      </c>
      <c r="B274" s="3" t="s">
        <v>21</v>
      </c>
      <c r="C274" s="3">
        <v>20.4</v>
      </c>
      <c r="D274" s="3">
        <v>1.02E7</v>
      </c>
      <c r="E274" s="3">
        <v>15.6</v>
      </c>
      <c r="F274" s="3">
        <v>388.0</v>
      </c>
      <c r="G274" s="3">
        <v>13.6</v>
      </c>
      <c r="H274" s="3">
        <v>25.0</v>
      </c>
      <c r="I274" s="12">
        <v>6800000.0</v>
      </c>
    </row>
    <row r="275" ht="14.25" customHeight="1">
      <c r="A275" s="3">
        <v>373.0</v>
      </c>
      <c r="B275" s="3" t="s">
        <v>33</v>
      </c>
      <c r="C275" s="3">
        <v>22.5</v>
      </c>
      <c r="D275" s="3">
        <v>9750000.0</v>
      </c>
      <c r="E275" s="3">
        <v>13.0</v>
      </c>
      <c r="F275" s="3">
        <v>480.0</v>
      </c>
      <c r="G275" s="3">
        <v>16.0</v>
      </c>
      <c r="H275" s="3">
        <v>15.0</v>
      </c>
      <c r="I275" s="12">
        <v>7500000.0</v>
      </c>
    </row>
    <row r="276" ht="14.25" customHeight="1">
      <c r="A276" s="3">
        <v>374.0</v>
      </c>
      <c r="B276" s="3" t="s">
        <v>21</v>
      </c>
      <c r="C276" s="3">
        <v>23.4</v>
      </c>
      <c r="D276" s="3">
        <v>1.404E7</v>
      </c>
      <c r="E276" s="3">
        <v>13.8</v>
      </c>
      <c r="F276" s="3">
        <v>443.0</v>
      </c>
      <c r="G276" s="3">
        <v>15.0</v>
      </c>
      <c r="H276" s="3">
        <v>15.0</v>
      </c>
      <c r="I276" s="12">
        <v>7800000.0</v>
      </c>
    </row>
    <row r="277" ht="14.25" customHeight="1">
      <c r="A277" s="3">
        <v>375.0</v>
      </c>
      <c r="B277" s="3" t="s">
        <v>33</v>
      </c>
      <c r="C277" s="3">
        <v>24.9</v>
      </c>
      <c r="D277" s="3">
        <v>2.49E7</v>
      </c>
      <c r="E277" s="3">
        <v>2.3</v>
      </c>
      <c r="F277" s="3">
        <v>543.0</v>
      </c>
      <c r="G277" s="3">
        <v>13.0</v>
      </c>
      <c r="H277" s="3">
        <v>8.7</v>
      </c>
      <c r="I277" s="12">
        <v>8300000.0</v>
      </c>
    </row>
    <row r="278" ht="14.25" customHeight="1">
      <c r="A278" s="3">
        <v>376.0</v>
      </c>
      <c r="B278" s="3" t="s">
        <v>21</v>
      </c>
      <c r="C278" s="3">
        <v>27.0</v>
      </c>
      <c r="D278" s="3">
        <v>1.8E7</v>
      </c>
      <c r="E278" s="3">
        <v>15.0</v>
      </c>
      <c r="F278" s="3">
        <v>520.0</v>
      </c>
      <c r="G278" s="3">
        <v>18.0</v>
      </c>
      <c r="H278" s="3">
        <v>15.0</v>
      </c>
      <c r="I278" s="12">
        <v>9000000.0</v>
      </c>
    </row>
    <row r="279" ht="14.25" customHeight="1">
      <c r="A279" s="3">
        <v>377.0</v>
      </c>
      <c r="B279" s="3" t="s">
        <v>33</v>
      </c>
      <c r="C279" s="3">
        <v>27.9</v>
      </c>
      <c r="D279" s="3">
        <v>1.395E7</v>
      </c>
      <c r="E279" s="3">
        <v>16.6</v>
      </c>
      <c r="F279" s="3">
        <v>588.0</v>
      </c>
      <c r="G279" s="3">
        <v>18.6</v>
      </c>
      <c r="H279" s="3">
        <v>25.0</v>
      </c>
      <c r="I279" s="12">
        <v>9300000.0</v>
      </c>
    </row>
    <row r="280" ht="14.25" customHeight="1">
      <c r="A280" s="3">
        <v>378.0</v>
      </c>
      <c r="B280" s="3" t="s">
        <v>21</v>
      </c>
      <c r="C280" s="3">
        <v>29.4</v>
      </c>
      <c r="D280" s="3">
        <v>1.274E7</v>
      </c>
      <c r="E280" s="3">
        <v>15.8</v>
      </c>
      <c r="F280" s="3">
        <v>563.0</v>
      </c>
      <c r="G280" s="3">
        <v>19.6</v>
      </c>
      <c r="H280" s="3">
        <v>25.0</v>
      </c>
      <c r="I280" s="12">
        <v>9800000.0</v>
      </c>
    </row>
    <row r="281" ht="14.25" customHeight="1">
      <c r="A281" s="3">
        <v>379.0</v>
      </c>
      <c r="B281" s="3" t="s">
        <v>33</v>
      </c>
      <c r="C281" s="3">
        <v>20.6</v>
      </c>
      <c r="D281" s="3">
        <v>1.854E7</v>
      </c>
      <c r="E281" s="3">
        <v>4.3</v>
      </c>
      <c r="F281" s="3">
        <v>663.0</v>
      </c>
      <c r="G281" s="3">
        <v>20.6</v>
      </c>
      <c r="H281" s="3">
        <v>15.0</v>
      </c>
      <c r="I281" s="12">
        <v>1.03E7</v>
      </c>
    </row>
    <row r="282" ht="14.25" customHeight="1">
      <c r="A282" s="3">
        <v>380.0</v>
      </c>
      <c r="B282" s="3" t="s">
        <v>21</v>
      </c>
      <c r="C282" s="3">
        <v>22.0</v>
      </c>
      <c r="D282" s="3">
        <v>3.3E7</v>
      </c>
      <c r="E282" s="3">
        <v>17.0</v>
      </c>
      <c r="F282" s="3">
        <v>640.0</v>
      </c>
      <c r="G282" s="3">
        <v>19.8</v>
      </c>
      <c r="H282" s="3">
        <v>9.0</v>
      </c>
      <c r="I282" s="12">
        <v>1.1E7</v>
      </c>
    </row>
    <row r="283" ht="14.25" customHeight="1">
      <c r="A283" s="3">
        <v>381.0</v>
      </c>
      <c r="B283" s="3" t="s">
        <v>33</v>
      </c>
      <c r="C283" s="3">
        <v>22.6</v>
      </c>
      <c r="D283" s="3">
        <v>2.26E7</v>
      </c>
      <c r="E283" s="3">
        <v>20.6</v>
      </c>
      <c r="F283" s="3">
        <v>658.0</v>
      </c>
      <c r="G283" s="3">
        <v>24.0</v>
      </c>
      <c r="H283" s="3">
        <v>5.0</v>
      </c>
      <c r="I283" s="12">
        <v>1.13E7</v>
      </c>
    </row>
    <row r="284" ht="14.25" customHeight="1">
      <c r="A284" s="3">
        <v>382.0</v>
      </c>
      <c r="B284" s="3" t="s">
        <v>21</v>
      </c>
      <c r="C284" s="3">
        <v>23.6</v>
      </c>
      <c r="D284" s="3">
        <v>1.77E7</v>
      </c>
      <c r="E284" s="3">
        <v>17.8</v>
      </c>
      <c r="F284" s="3">
        <v>738.0</v>
      </c>
      <c r="G284" s="3">
        <v>24.7</v>
      </c>
      <c r="H284" s="3">
        <v>15.0</v>
      </c>
      <c r="I284" s="12">
        <v>1.18E7</v>
      </c>
    </row>
    <row r="285" ht="14.25" customHeight="1">
      <c r="A285" s="3">
        <v>383.0</v>
      </c>
      <c r="B285" s="3" t="s">
        <v>33</v>
      </c>
      <c r="C285" s="3">
        <v>25.0</v>
      </c>
      <c r="D285" s="3">
        <v>1.625E7</v>
      </c>
      <c r="E285" s="3">
        <v>6.5</v>
      </c>
      <c r="F285" s="3">
        <v>725.0</v>
      </c>
      <c r="G285" s="3">
        <v>26.1</v>
      </c>
      <c r="H285" s="3">
        <v>15.0</v>
      </c>
      <c r="I285" s="12">
        <v>1.25E7</v>
      </c>
    </row>
    <row r="286" ht="14.25" customHeight="1">
      <c r="A286" s="3">
        <v>384.0</v>
      </c>
      <c r="B286" s="3" t="s">
        <v>21</v>
      </c>
      <c r="C286" s="3">
        <v>25.6</v>
      </c>
      <c r="D286" s="3">
        <v>2.304E7</v>
      </c>
      <c r="E286" s="3">
        <v>18.8</v>
      </c>
      <c r="F286" s="3">
        <v>813.0</v>
      </c>
      <c r="G286" s="3">
        <v>36.0</v>
      </c>
      <c r="H286" s="3">
        <v>9.20000000000002</v>
      </c>
      <c r="I286" s="12">
        <v>1.28E7</v>
      </c>
    </row>
    <row r="287" ht="14.25" customHeight="1">
      <c r="A287" s="3">
        <v>385.0</v>
      </c>
      <c r="B287" s="3" t="s">
        <v>33</v>
      </c>
      <c r="C287" s="3">
        <v>26.6</v>
      </c>
      <c r="D287" s="3">
        <v>1.5E7</v>
      </c>
      <c r="E287" s="3">
        <v>24.6</v>
      </c>
      <c r="F287" s="3">
        <v>778.0</v>
      </c>
      <c r="G287" s="3">
        <v>35.1</v>
      </c>
      <c r="H287" s="3">
        <v>15.0</v>
      </c>
      <c r="I287" s="12">
        <v>1.33E7</v>
      </c>
    </row>
    <row r="288" ht="14.25" customHeight="1">
      <c r="A288" s="3">
        <v>386.0</v>
      </c>
      <c r="B288" s="3" t="s">
        <v>21</v>
      </c>
      <c r="C288" s="3">
        <v>28.0</v>
      </c>
      <c r="D288" s="3">
        <v>2.8E7</v>
      </c>
      <c r="E288" s="3">
        <v>20.0</v>
      </c>
      <c r="F288" s="3">
        <v>870.0</v>
      </c>
      <c r="G288" s="3">
        <v>25.2</v>
      </c>
      <c r="H288" s="3">
        <v>11.0</v>
      </c>
      <c r="I288" s="12">
        <v>1.4E7</v>
      </c>
    </row>
    <row r="289" ht="14.25" customHeight="1">
      <c r="A289" s="3">
        <v>387.0</v>
      </c>
      <c r="B289" s="3" t="s">
        <v>33</v>
      </c>
      <c r="C289" s="3">
        <v>29.0</v>
      </c>
      <c r="D289" s="3">
        <v>2.175E7</v>
      </c>
      <c r="E289" s="3">
        <v>8.5</v>
      </c>
      <c r="F289" s="3">
        <v>845.0</v>
      </c>
      <c r="G289" s="3">
        <v>34.8</v>
      </c>
      <c r="H289" s="3">
        <v>5.0</v>
      </c>
      <c r="I289" s="12">
        <v>1.45E7</v>
      </c>
    </row>
    <row r="290" ht="14.25" customHeight="1">
      <c r="A290" s="3">
        <v>388.0</v>
      </c>
      <c r="B290" s="3" t="s">
        <v>21</v>
      </c>
      <c r="C290" s="3">
        <v>30.4</v>
      </c>
      <c r="D290" s="3">
        <v>1.976E7</v>
      </c>
      <c r="E290" s="3">
        <v>21.2</v>
      </c>
      <c r="F290" s="3">
        <v>957.0</v>
      </c>
      <c r="G290" s="3">
        <v>39.52</v>
      </c>
      <c r="H290" s="3">
        <v>5.0</v>
      </c>
      <c r="I290" s="12">
        <v>1.52E7</v>
      </c>
    </row>
    <row r="291" ht="14.25" customHeight="1">
      <c r="A291" s="3">
        <v>389.0</v>
      </c>
      <c r="B291" s="3" t="s">
        <v>33</v>
      </c>
      <c r="C291" s="3">
        <v>31.0</v>
      </c>
      <c r="D291" s="3">
        <v>2.79E7</v>
      </c>
      <c r="E291" s="3">
        <v>29.0</v>
      </c>
      <c r="F291" s="3">
        <v>910.0</v>
      </c>
      <c r="G291" s="3">
        <v>27.9</v>
      </c>
      <c r="H291" s="3">
        <v>15.0</v>
      </c>
      <c r="I291" s="12">
        <v>1.55E7</v>
      </c>
    </row>
    <row r="292" ht="14.25" customHeight="1">
      <c r="A292" s="3">
        <v>390.0</v>
      </c>
      <c r="B292" s="3" t="s">
        <v>21</v>
      </c>
      <c r="C292" s="3">
        <v>32.0</v>
      </c>
      <c r="D292" s="3">
        <v>1.5E7</v>
      </c>
      <c r="E292" s="3">
        <v>22.0</v>
      </c>
      <c r="F292" s="3">
        <v>990.0</v>
      </c>
      <c r="G292" s="3">
        <v>38.4</v>
      </c>
      <c r="H292" s="3">
        <v>4.0</v>
      </c>
      <c r="I292" s="12">
        <v>1.6E7</v>
      </c>
    </row>
    <row r="293" ht="14.25" customHeight="1">
      <c r="A293" s="3">
        <v>391.0</v>
      </c>
      <c r="B293" s="3" t="s">
        <v>33</v>
      </c>
      <c r="C293" s="3">
        <v>30.0</v>
      </c>
      <c r="D293" s="3">
        <v>3.34E7</v>
      </c>
      <c r="E293" s="3">
        <v>10.7</v>
      </c>
      <c r="F293" s="3">
        <v>977.0</v>
      </c>
      <c r="G293" s="3">
        <v>43.42</v>
      </c>
      <c r="H293" s="3">
        <v>4.0</v>
      </c>
      <c r="I293" s="12">
        <v>1.67E7</v>
      </c>
    </row>
    <row r="294" ht="14.25" customHeight="1">
      <c r="A294" s="3">
        <v>392.0</v>
      </c>
      <c r="B294" s="3" t="s">
        <v>21</v>
      </c>
      <c r="C294" s="3">
        <v>30.0</v>
      </c>
      <c r="D294" s="3">
        <v>2.58E7</v>
      </c>
      <c r="E294" s="3">
        <v>23.2</v>
      </c>
      <c r="F294" s="3">
        <v>1077.0</v>
      </c>
      <c r="G294" s="3">
        <v>30.96</v>
      </c>
      <c r="H294" s="3">
        <v>4.0</v>
      </c>
      <c r="I294" s="12">
        <v>1.72E7</v>
      </c>
    </row>
    <row r="295" ht="14.25" customHeight="1">
      <c r="A295" s="3">
        <v>393.0</v>
      </c>
      <c r="B295" s="3" t="s">
        <v>33</v>
      </c>
      <c r="C295" s="3">
        <v>30.0</v>
      </c>
      <c r="D295" s="3">
        <v>2.327E7</v>
      </c>
      <c r="E295" s="3">
        <v>33.8</v>
      </c>
      <c r="F295" s="3">
        <v>1054.0</v>
      </c>
      <c r="G295" s="3">
        <v>45.6</v>
      </c>
      <c r="H295" s="3">
        <v>4.0</v>
      </c>
      <c r="I295" s="12">
        <v>1.79E7</v>
      </c>
    </row>
    <row r="296" ht="14.25" customHeight="1">
      <c r="A296" s="3">
        <v>394.0</v>
      </c>
      <c r="B296" s="3" t="s">
        <v>21</v>
      </c>
      <c r="C296" s="3">
        <v>30.0</v>
      </c>
      <c r="D296" s="3">
        <v>3.312E7</v>
      </c>
      <c r="E296" s="3">
        <v>24.4</v>
      </c>
      <c r="F296" s="3">
        <v>1134.0</v>
      </c>
      <c r="G296" s="3">
        <v>41.6</v>
      </c>
      <c r="H296" s="3">
        <v>4.0</v>
      </c>
      <c r="I296" s="12">
        <v>1.84E7</v>
      </c>
    </row>
    <row r="297" ht="14.25" customHeight="1">
      <c r="A297" s="3">
        <v>395.0</v>
      </c>
      <c r="B297" s="3" t="s">
        <v>33</v>
      </c>
      <c r="C297" s="3">
        <v>20.0</v>
      </c>
      <c r="D297" s="3">
        <v>1.5E7</v>
      </c>
      <c r="E297" s="3">
        <v>13.1</v>
      </c>
      <c r="F297" s="3">
        <v>1121.0</v>
      </c>
      <c r="G297" s="3">
        <v>27.9</v>
      </c>
      <c r="H297" s="3">
        <v>15.0</v>
      </c>
      <c r="I297" s="12">
        <v>1.91E7</v>
      </c>
    </row>
    <row r="298" ht="14.25" customHeight="1">
      <c r="A298" s="3">
        <v>396.0</v>
      </c>
      <c r="B298" s="3" t="s">
        <v>21</v>
      </c>
      <c r="C298" s="3">
        <v>20.0</v>
      </c>
      <c r="D298" s="3">
        <v>1.5E7</v>
      </c>
      <c r="E298" s="3">
        <v>25.4</v>
      </c>
      <c r="F298" s="3">
        <v>1209.0</v>
      </c>
      <c r="G298" s="3">
        <v>43.2</v>
      </c>
      <c r="H298" s="3">
        <v>5.0</v>
      </c>
      <c r="I298" s="12">
        <v>1.94E7</v>
      </c>
    </row>
    <row r="299" ht="14.25" customHeight="1">
      <c r="A299" s="3">
        <v>397.0</v>
      </c>
      <c r="B299" s="3" t="s">
        <v>33</v>
      </c>
      <c r="C299" s="3">
        <v>20.0</v>
      </c>
      <c r="D299" s="3">
        <v>3000000.0</v>
      </c>
      <c r="E299" s="3">
        <v>14.0</v>
      </c>
      <c r="F299" s="3">
        <v>120.0</v>
      </c>
      <c r="G299" s="3">
        <v>3.9</v>
      </c>
      <c r="H299" s="3">
        <v>63.0</v>
      </c>
      <c r="I299" s="12">
        <v>1300000.0</v>
      </c>
    </row>
    <row r="300" ht="14.25" customHeight="1">
      <c r="A300" s="3">
        <v>398.0</v>
      </c>
      <c r="B300" s="3" t="s">
        <v>21</v>
      </c>
      <c r="C300" s="3">
        <v>27.0</v>
      </c>
      <c r="D300" s="3">
        <v>6500000.0</v>
      </c>
      <c r="E300" s="3">
        <v>11.0</v>
      </c>
      <c r="F300" s="3">
        <v>330.0</v>
      </c>
      <c r="G300" s="3">
        <v>12.0</v>
      </c>
      <c r="H300" s="3">
        <v>45.0</v>
      </c>
      <c r="I300" s="12">
        <v>5000000.0</v>
      </c>
    </row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8" width="14.0"/>
    <col customWidth="1" min="9" max="26" width="8.71"/>
  </cols>
  <sheetData>
    <row r="1" ht="14.25" customHeight="1">
      <c r="A1" s="1"/>
    </row>
    <row r="2" ht="14.25" customHeight="1">
      <c r="A2" s="3" t="s">
        <v>4</v>
      </c>
    </row>
    <row r="3" ht="14.25" customHeight="1"/>
    <row r="4" ht="14.25" customHeight="1">
      <c r="A4" s="4" t="s">
        <v>6</v>
      </c>
    </row>
    <row r="5" ht="14.25" customHeight="1">
      <c r="B5" s="2" t="s">
        <v>22</v>
      </c>
      <c r="C5" s="2" t="s">
        <v>23</v>
      </c>
      <c r="D5" s="2" t="s">
        <v>25</v>
      </c>
      <c r="E5" s="2" t="s">
        <v>26</v>
      </c>
      <c r="F5" s="2" t="s">
        <v>27</v>
      </c>
      <c r="G5" s="2" t="s">
        <v>28</v>
      </c>
      <c r="H5" s="2" t="s">
        <v>29</v>
      </c>
    </row>
    <row r="6" ht="14.25" customHeight="1">
      <c r="A6" s="4" t="s">
        <v>30</v>
      </c>
      <c r="B6" s="7" t="s">
        <v>12</v>
      </c>
      <c r="C6" s="7" t="s">
        <v>14</v>
      </c>
      <c r="D6" s="7" t="s">
        <v>15</v>
      </c>
      <c r="E6" s="7" t="s">
        <v>16</v>
      </c>
      <c r="F6" s="7" t="s">
        <v>17</v>
      </c>
      <c r="G6" s="7" t="s">
        <v>18</v>
      </c>
      <c r="H6" s="7" t="s">
        <v>19</v>
      </c>
    </row>
    <row r="7" ht="14.25" customHeight="1"/>
    <row r="8" ht="14.25" customHeight="1">
      <c r="A8" s="4" t="s">
        <v>32</v>
      </c>
    </row>
    <row r="9" ht="14.25" customHeight="1">
      <c r="A9" s="10"/>
      <c r="B9" s="2" t="s">
        <v>22</v>
      </c>
      <c r="C9" s="2" t="s">
        <v>23</v>
      </c>
      <c r="D9" s="2" t="s">
        <v>25</v>
      </c>
      <c r="E9" s="2" t="s">
        <v>26</v>
      </c>
      <c r="F9" s="2" t="s">
        <v>27</v>
      </c>
      <c r="G9" s="2" t="s">
        <v>28</v>
      </c>
      <c r="H9" s="2" t="s">
        <v>29</v>
      </c>
    </row>
    <row r="10" ht="14.25" customHeight="1">
      <c r="A10" s="4" t="s">
        <v>13</v>
      </c>
      <c r="B10" s="15">
        <f>CORREL(Dataset!$C$2:$C$300,Dataset!$C$2:$C$300)</f>
        <v>1</v>
      </c>
      <c r="C10" s="15">
        <f>CORREL(Dataset!$C$2:$C$300,Dataset!$D$2:$D$300)</f>
        <v>0.1407744338</v>
      </c>
      <c r="D10" s="15">
        <f>CORREL(Dataset!$C$2:$C$300,Dataset!$E$2:$E$300)</f>
        <v>0.1603475875</v>
      </c>
      <c r="E10" s="15">
        <f>CORREL(Dataset!$C$2:$C$300,Dataset!$F$2:$F$300)</f>
        <v>0.1934452704</v>
      </c>
      <c r="F10" s="15">
        <f>CORREL(Dataset!$C$2:$C$300,Dataset!$G$2:$G$300)</f>
        <v>0.207803283</v>
      </c>
      <c r="G10" s="15">
        <f>CORREL(Dataset!$C$2:$C$300,Dataset!$H$2:$H$300)</f>
        <v>-0.1289753817</v>
      </c>
      <c r="H10" s="15">
        <f>CORREL(Dataset!$C$2:$C$300,Dataset!$I$2:$I$300)</f>
        <v>0.22134233</v>
      </c>
    </row>
    <row r="11" ht="14.25" customHeight="1">
      <c r="A11" s="4" t="s">
        <v>31</v>
      </c>
      <c r="B11" s="15">
        <f>CORREL(Dataset!$D$2:$D$300,Dataset!$C$2:$C$300)</f>
        <v>0.1407744338</v>
      </c>
      <c r="C11" s="15">
        <f>CORREL(Dataset!$D$2:$D$300,Dataset!$D$2:$D$300)</f>
        <v>1</v>
      </c>
      <c r="D11" s="15">
        <f>CORREL(Dataset!$D$2:$D$300,Dataset!$E$2:$E$300)</f>
        <v>0.3789467125</v>
      </c>
      <c r="E11" s="15">
        <f>CORREL(Dataset!$D$2:$D$300,Dataset!$F$2:$F$300)</f>
        <v>0.4836920601</v>
      </c>
      <c r="F11" s="15">
        <f>CORREL(Dataset!$D$2:$D$300,Dataset!$G$2:$G$300)</f>
        <v>0.4456727121</v>
      </c>
      <c r="G11" s="15">
        <f>CORREL(Dataset!$D$2:$D$300,Dataset!$H$2:$H$300)</f>
        <v>-0.4483756005</v>
      </c>
      <c r="H11" s="15">
        <f>CORREL(Dataset!$D$2:$D$300,Dataset!$I$2:$I$300)</f>
        <v>0.5274774999</v>
      </c>
    </row>
    <row r="12" ht="14.25" customHeight="1">
      <c r="A12" s="4" t="s">
        <v>45</v>
      </c>
      <c r="B12" s="15">
        <f>CORREL(Dataset!$E$2:$E$300,Dataset!$C$2:$C$300)</f>
        <v>0.1603475875</v>
      </c>
      <c r="C12" s="15">
        <f>CORREL(Dataset!$E$2:$E$300,Dataset!$D$2:$D$300)</f>
        <v>0.3789467125</v>
      </c>
      <c r="D12" s="15">
        <f>CORREL(Dataset!$E$2:$E$300,Dataset!$E$2:$E$300)</f>
        <v>1</v>
      </c>
      <c r="E12" s="15">
        <f>CORREL(Dataset!$E$2:$E$300,Dataset!$F$2:$F$300)</f>
        <v>0.6853319563</v>
      </c>
      <c r="F12" s="15">
        <f>CORREL(Dataset!$E$2:$E$300,Dataset!$G$2:$G$300)</f>
        <v>0.6213744703</v>
      </c>
      <c r="G12" s="15">
        <f>CORREL(Dataset!$E$2:$E$300,Dataset!$H$2:$H$300)</f>
        <v>-0.5702766089</v>
      </c>
      <c r="H12" s="15">
        <f>CORREL(Dataset!$E$2:$E$300,Dataset!$I$2:$I$300)</f>
        <v>0.7145063696</v>
      </c>
    </row>
    <row r="13" ht="14.25" customHeight="1">
      <c r="A13" s="4" t="s">
        <v>46</v>
      </c>
      <c r="B13" s="15">
        <f>CORREL(Dataset!$F$2:$F$300,Dataset!$C$2:$C$300)</f>
        <v>0.1934452704</v>
      </c>
      <c r="C13" s="15">
        <f>CORREL(Dataset!$F$2:$F$300,Dataset!$D$2:$D$300)</f>
        <v>0.4836920601</v>
      </c>
      <c r="D13" s="15">
        <f>CORREL(Dataset!$F$2:$F$300,Dataset!$E$2:$E$300)</f>
        <v>0.6853319563</v>
      </c>
      <c r="E13" s="15">
        <f>CORREL(Dataset!$F$2:$F$300,Dataset!$F$2:$F$300)</f>
        <v>1</v>
      </c>
      <c r="F13" s="15">
        <f>CORREL(Dataset!$F$2:$F$300,Dataset!$G$2:$G$300)</f>
        <v>0.7768861588</v>
      </c>
      <c r="G13" s="15">
        <f>CORREL(Dataset!$F$2:$F$300,Dataset!$H$2:$H$300)</f>
        <v>-0.7873056093</v>
      </c>
      <c r="H13" s="15">
        <f>CORREL(Dataset!$F$2:$F$300,Dataset!$I$2:$I$300)</f>
        <v>0.9140827149</v>
      </c>
    </row>
    <row r="14" ht="14.25" customHeight="1">
      <c r="A14" s="4" t="s">
        <v>47</v>
      </c>
      <c r="B14" s="15">
        <f>CORREL(Dataset!$G$2:$G$300,Dataset!$C$2:$C$300)</f>
        <v>0.207803283</v>
      </c>
      <c r="C14" s="15">
        <f>CORREL(Dataset!$G$2:$G$300,Dataset!$D$2:$D$300)</f>
        <v>0.4456727121</v>
      </c>
      <c r="D14" s="15">
        <f>CORREL(Dataset!$G$2:$G$300,Dataset!$E$2:$E$300)</f>
        <v>0.6213744703</v>
      </c>
      <c r="E14" s="15">
        <f>CORREL(Dataset!$G$2:$G$300,Dataset!$F$2:$F$300)</f>
        <v>0.7768861588</v>
      </c>
      <c r="F14" s="15">
        <f>CORREL(Dataset!$G$2:$G$300,Dataset!$G$2:$G$300)</f>
        <v>1</v>
      </c>
      <c r="G14" s="15">
        <f>CORREL(Dataset!$G$2:$G$300,Dataset!$H$2:$H$300)</f>
        <v>-0.7941434615</v>
      </c>
      <c r="H14" s="15">
        <f>CORREL(Dataset!$G$2:$G$300,Dataset!$I$2:$I$300)</f>
        <v>0.8766695072</v>
      </c>
    </row>
    <row r="15" ht="14.25" customHeight="1">
      <c r="A15" s="4" t="s">
        <v>48</v>
      </c>
      <c r="B15" s="15">
        <f>CORREL(Dataset!$H$2:$H$300,Dataset!$C$2:$C$300)</f>
        <v>-0.1289753817</v>
      </c>
      <c r="C15" s="15">
        <f>CORREL(Dataset!$H$2:$H$300,Dataset!$D$2:$D$300)</f>
        <v>-0.4483756005</v>
      </c>
      <c r="D15" s="15">
        <f>CORREL(Dataset!$H$2:$H$300,Dataset!$E$2:$E$300)</f>
        <v>-0.5702766089</v>
      </c>
      <c r="E15" s="15">
        <f>CORREL(Dataset!$H$2:$H$300,Dataset!$F$2:$F$300)</f>
        <v>-0.7873056093</v>
      </c>
      <c r="F15" s="15">
        <f>CORREL(Dataset!$H$2:$H$300,Dataset!$G$2:$G$300)</f>
        <v>-0.7941434615</v>
      </c>
      <c r="G15" s="15">
        <f>CORREL(Dataset!$H$2:$H$300,Dataset!$H$2:$H$300)</f>
        <v>1</v>
      </c>
      <c r="H15" s="15">
        <f>CORREL(Dataset!$H$2:$H$300,Dataset!$I$2:$I$300)</f>
        <v>-0.8625242747</v>
      </c>
    </row>
    <row r="16" ht="14.25" customHeight="1">
      <c r="A16" s="4" t="s">
        <v>77</v>
      </c>
      <c r="B16" s="15">
        <f>CORREL(Dataset!$I$2:$I$300,Dataset!$C$2:$C$300)</f>
        <v>0.22134233</v>
      </c>
      <c r="C16" s="15">
        <f>CORREL(Dataset!$I$2:$I$300,Dataset!$D$2:$D$300)</f>
        <v>0.5274774999</v>
      </c>
      <c r="D16" s="15">
        <f>CORREL(Dataset!$I$2:$I$300,Dataset!$E$2:$E$300)</f>
        <v>0.7145063696</v>
      </c>
      <c r="E16" s="15">
        <f>CORREL(Dataset!$I$2:$I$300,Dataset!$F$2:$F$300)</f>
        <v>0.9140827149</v>
      </c>
      <c r="F16" s="15">
        <f>CORREL(Dataset!$I$2:$I$300,Dataset!$G$2:$G$300)</f>
        <v>0.8766695072</v>
      </c>
      <c r="G16" s="15">
        <f>CORREL(Dataset!$I$2:$I$300,Dataset!$H$2:$H$300)</f>
        <v>-0.8625242747</v>
      </c>
      <c r="H16" s="15">
        <f>CORREL(Dataset!$I$2:$I$300,Dataset!$I$2:$I$300)</f>
        <v>1</v>
      </c>
    </row>
    <row r="17" ht="14.25" customHeight="1"/>
    <row r="18" ht="14.25" customHeight="1"/>
    <row r="19" ht="14.25" customHeight="1">
      <c r="A19" s="4" t="s">
        <v>81</v>
      </c>
    </row>
    <row r="20" ht="14.25" customHeight="1">
      <c r="A20" s="2" t="s">
        <v>7</v>
      </c>
      <c r="B20" s="2" t="s">
        <v>82</v>
      </c>
      <c r="C20" s="2" t="s">
        <v>83</v>
      </c>
      <c r="D20" s="2" t="s">
        <v>84</v>
      </c>
    </row>
    <row r="21" ht="14.25" customHeight="1">
      <c r="A21" s="3" t="s">
        <v>13</v>
      </c>
      <c r="B21" s="15">
        <f>CORREL(Dataset!$C$2:$C$300,Dataset!$I$2:$I$300)</f>
        <v>0.22134233</v>
      </c>
      <c r="C21" s="7" t="str">
        <f t="shared" ref="C21:C26" si="1">IF(ABS(B21)&gt;=0.7,"Kuat",IF(ABS(B21)&gt;=0.4,"Sedang",IF(ABS(B21)&gt;=0.2,"Lemah","Sangat Lemah")))</f>
        <v>Lemah</v>
      </c>
      <c r="D21" s="7" t="str">
        <f t="shared" ref="D21:D26" si="2">IF(B21&gt;0,"Positif","Negatif")</f>
        <v>Positif</v>
      </c>
    </row>
    <row r="22" ht="14.25" customHeight="1">
      <c r="A22" s="3" t="s">
        <v>31</v>
      </c>
      <c r="B22" s="15">
        <f>CORREL(Dataset!$D$2:$D$300,Dataset!$I$2:$I$300)</f>
        <v>0.5274774999</v>
      </c>
      <c r="C22" s="7" t="str">
        <f t="shared" si="1"/>
        <v>Sedang</v>
      </c>
      <c r="D22" s="7" t="str">
        <f t="shared" si="2"/>
        <v>Positif</v>
      </c>
    </row>
    <row r="23" ht="14.25" customHeight="1">
      <c r="A23" s="3" t="s">
        <v>45</v>
      </c>
      <c r="B23" s="15">
        <f>CORREL(Dataset!$E$2:$E$300,Dataset!$I$2:$I$300)</f>
        <v>0.7145063696</v>
      </c>
      <c r="C23" s="7" t="str">
        <f t="shared" si="1"/>
        <v>Kuat</v>
      </c>
      <c r="D23" s="7" t="str">
        <f t="shared" si="2"/>
        <v>Positif</v>
      </c>
    </row>
    <row r="24" ht="14.25" customHeight="1">
      <c r="A24" s="3" t="s">
        <v>46</v>
      </c>
      <c r="B24" s="15">
        <f>CORREL(Dataset!$F$2:$F$300,Dataset!$I$2:$I$300)</f>
        <v>0.9140827149</v>
      </c>
      <c r="C24" s="7" t="str">
        <f t="shared" si="1"/>
        <v>Kuat</v>
      </c>
      <c r="D24" s="7" t="str">
        <f t="shared" si="2"/>
        <v>Positif</v>
      </c>
    </row>
    <row r="25" ht="14.25" customHeight="1">
      <c r="A25" s="3" t="s">
        <v>47</v>
      </c>
      <c r="B25" s="15">
        <f>CORREL(Dataset!$G$2:$G$300,Dataset!$I$2:$I$300)</f>
        <v>0.8766695072</v>
      </c>
      <c r="C25" s="7" t="str">
        <f t="shared" si="1"/>
        <v>Kuat</v>
      </c>
      <c r="D25" s="7" t="str">
        <f t="shared" si="2"/>
        <v>Positif</v>
      </c>
    </row>
    <row r="26" ht="14.25" customHeight="1">
      <c r="A26" s="3" t="s">
        <v>48</v>
      </c>
      <c r="B26" s="15">
        <f>CORREL(Dataset!$H$2:$H$300,Dataset!$I$2:$I$300)</f>
        <v>-0.8625242747</v>
      </c>
      <c r="C26" s="7" t="str">
        <f t="shared" si="1"/>
        <v>Kuat</v>
      </c>
      <c r="D26" s="7" t="str">
        <f t="shared" si="2"/>
        <v>Negatif</v>
      </c>
    </row>
    <row r="27" ht="14.25" customHeight="1"/>
    <row r="28" ht="14.25" customHeight="1">
      <c r="A28" s="4" t="s">
        <v>85</v>
      </c>
    </row>
    <row r="29" ht="14.25" customHeight="1">
      <c r="A29" s="3" t="s">
        <v>86</v>
      </c>
    </row>
    <row r="30" ht="14.25" customHeight="1">
      <c r="A30" s="3" t="s">
        <v>87</v>
      </c>
    </row>
    <row r="31" ht="14.25" customHeight="1">
      <c r="A31" s="3" t="s">
        <v>88</v>
      </c>
    </row>
    <row r="32" ht="14.25" customHeight="1">
      <c r="A32" s="3" t="s">
        <v>89</v>
      </c>
    </row>
    <row r="33" ht="14.25" customHeight="1">
      <c r="A33" s="3" t="s">
        <v>90</v>
      </c>
    </row>
    <row r="34" ht="14.25" customHeight="1">
      <c r="A34" s="3" t="s">
        <v>91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B10:H16">
    <cfRule type="expression" dxfId="0" priority="1">
      <formula>ABS(B10)=1</formula>
    </cfRule>
  </conditionalFormatting>
  <conditionalFormatting sqref="B10:H16">
    <cfRule type="expression" dxfId="1" priority="2">
      <formula>ABS(B10)&gt;=0.7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7" width="17.0"/>
    <col customWidth="1" min="8" max="8" width="42.0"/>
    <col customWidth="1" min="9" max="9" width="8.71"/>
    <col customWidth="1" min="10" max="10" width="20.0"/>
    <col customWidth="1" min="11" max="11" width="15.0"/>
    <col customWidth="1" min="12" max="12" width="8.71"/>
    <col customWidth="1" min="13" max="13" width="12.0"/>
    <col customWidth="1" min="14" max="26" width="8.71"/>
  </cols>
  <sheetData>
    <row r="1" ht="14.25" customHeight="1">
      <c r="A1" s="1" t="s">
        <v>3</v>
      </c>
    </row>
    <row r="2" ht="14.25" customHeight="1">
      <c r="A2" s="4" t="s">
        <v>5</v>
      </c>
    </row>
    <row r="3" ht="14.25" customHeight="1">
      <c r="A3" s="3" t="s">
        <v>20</v>
      </c>
    </row>
    <row r="4" ht="14.25" customHeight="1"/>
    <row r="5" ht="14.25" customHeight="1">
      <c r="A5" s="6" t="s">
        <v>6</v>
      </c>
      <c r="B5" s="8"/>
      <c r="C5" s="8"/>
      <c r="D5" s="8"/>
      <c r="E5" s="8"/>
      <c r="F5" s="8"/>
      <c r="G5" s="8"/>
      <c r="H5" s="8"/>
    </row>
    <row r="6" ht="14.25" customHeight="1">
      <c r="A6" s="8"/>
      <c r="B6" s="11" t="s">
        <v>22</v>
      </c>
      <c r="C6" s="11" t="s">
        <v>23</v>
      </c>
      <c r="D6" s="11" t="s">
        <v>25</v>
      </c>
      <c r="E6" s="11" t="s">
        <v>26</v>
      </c>
      <c r="F6" s="11" t="s">
        <v>27</v>
      </c>
      <c r="G6" s="11" t="s">
        <v>28</v>
      </c>
      <c r="H6" s="11" t="s">
        <v>29</v>
      </c>
    </row>
    <row r="7" ht="14.25" customHeight="1">
      <c r="A7" s="6" t="s">
        <v>30</v>
      </c>
      <c r="B7" s="13" t="s">
        <v>12</v>
      </c>
      <c r="C7" s="13" t="s">
        <v>14</v>
      </c>
      <c r="D7" s="13" t="s">
        <v>15</v>
      </c>
      <c r="E7" s="13" t="s">
        <v>16</v>
      </c>
      <c r="F7" s="13" t="s">
        <v>17</v>
      </c>
      <c r="G7" s="13" t="s">
        <v>18</v>
      </c>
      <c r="H7" s="13" t="s">
        <v>19</v>
      </c>
    </row>
    <row r="8" ht="14.25" customHeight="1"/>
    <row r="9" ht="14.25" customHeight="1">
      <c r="A9" s="4" t="s">
        <v>34</v>
      </c>
    </row>
    <row r="10" ht="14.25" customHeight="1">
      <c r="A10" s="2"/>
      <c r="B10" s="2" t="s">
        <v>35</v>
      </c>
      <c r="C10" s="2" t="s">
        <v>36</v>
      </c>
      <c r="D10" s="2" t="s">
        <v>37</v>
      </c>
      <c r="E10" s="2" t="s">
        <v>38</v>
      </c>
      <c r="F10" s="2" t="s">
        <v>39</v>
      </c>
      <c r="G10" s="2" t="s">
        <v>40</v>
      </c>
      <c r="J10" s="2" t="s">
        <v>41</v>
      </c>
      <c r="K10" s="2" t="s">
        <v>42</v>
      </c>
      <c r="M10" s="3" t="s">
        <v>43</v>
      </c>
    </row>
    <row r="11" ht="14.25" customHeight="1">
      <c r="A11" s="3" t="s">
        <v>44</v>
      </c>
      <c r="B11" s="14">
        <f t="array" ref="B11">INDEX(LINEST(Dataset!$I$2:$I$300,Dataset!$C$2:$H$300,TRUE(),TRUE()),1,7)</f>
        <v>1947879.706</v>
      </c>
      <c r="C11" s="14">
        <f t="array" ref="C11">INDEX(LINEST(Dataset!$I$2:$I$300,Dataset!$C$2:$H$300,TRUE(),TRUE()),2,7)</f>
        <v>594065.0494</v>
      </c>
      <c r="D11" s="15">
        <f t="shared" ref="D11:D17" si="1">B11/C11</f>
        <v>3.27889969</v>
      </c>
      <c r="E11" s="16">
        <f t="shared" ref="E11:E17" si="2">TDIST(ABS(D11),$M$11,2)</f>
        <v>0.001168198227</v>
      </c>
      <c r="F11" s="7" t="str">
        <f t="shared" ref="F11:F17" si="3">IF(E11&lt;0.05,"H1 diterima","H0 diterima")</f>
        <v>H1 diterima</v>
      </c>
      <c r="G11" s="7" t="str">
        <f t="shared" ref="G11:G17" si="4">IF(E11&lt;0.05,"Signifikan","Tidak Signifikan")</f>
        <v>Signifikan</v>
      </c>
      <c r="J11" s="3" t="s">
        <v>53</v>
      </c>
      <c r="K11" s="16">
        <f t="array" ref="K11">INDEX(LINEST(Dataset!$I$2:$I$300,Dataset!$C$2:$H$300,TRUE(),TRUE()),3,1)</f>
        <v>0.9292781052</v>
      </c>
      <c r="M11" s="3">
        <f t="array" ref="M11">INDEX(LINEST(Dataset!$I$2:$I$300,Dataset!$C$2:$H$300,TRUE(),TRUE()),4,2)</f>
        <v>292</v>
      </c>
    </row>
    <row r="12" ht="14.25" customHeight="1">
      <c r="A12" s="3" t="s">
        <v>13</v>
      </c>
      <c r="B12" s="14">
        <f t="array" ref="B12">INDEX(LINEST(Dataset!$I$2:$I$300,Dataset!$C$2:$H$300,TRUE(),TRUE()),1,6)</f>
        <v>30555.49209</v>
      </c>
      <c r="C12" s="14">
        <f t="array" ref="C12">INDEX(LINEST(Dataset!$I$2:$I$300,Dataset!$C$2:$H$300,TRUE(),TRUE()),2,6)</f>
        <v>16729.0723</v>
      </c>
      <c r="D12" s="15">
        <f t="shared" si="1"/>
        <v>1.826490527</v>
      </c>
      <c r="E12" s="16">
        <f t="shared" si="2"/>
        <v>0.06879731167</v>
      </c>
      <c r="F12" s="7" t="str">
        <f t="shared" si="3"/>
        <v>H0 diterima</v>
      </c>
      <c r="G12" s="7" t="str">
        <f t="shared" si="4"/>
        <v>Tidak Signifikan</v>
      </c>
      <c r="H12" s="3" t="str">
        <f t="shared" ref="H12:H17" si="5">IF(AND(E12=MAX($E$12:$E$17),E12&gt;0.05),"P-value paling besar, variabel ini dikeluarkan","")</f>
        <v>P-value paling besar, variabel ini dikeluarkan</v>
      </c>
      <c r="J12" s="3" t="s">
        <v>57</v>
      </c>
      <c r="K12" s="16">
        <f>1-(1-K11)*(299-1)/(299-6-1)</f>
        <v>0.9278249156</v>
      </c>
    </row>
    <row r="13" ht="14.25" customHeight="1">
      <c r="A13" s="3" t="s">
        <v>31</v>
      </c>
      <c r="B13" s="14">
        <f t="array" ref="B13">INDEX(LINEST(Dataset!$I$2:$I$300,Dataset!$C$2:$H$300,TRUE(),TRUE()),1,5)</f>
        <v>0.03582464067</v>
      </c>
      <c r="C13" s="14">
        <f t="array" ref="C13">INDEX(LINEST(Dataset!$I$2:$I$300,Dataset!$C$2:$H$300,TRUE(),TRUE()),2,5)</f>
        <v>0.01111730128</v>
      </c>
      <c r="D13" s="15">
        <f t="shared" si="1"/>
        <v>3.222422401</v>
      </c>
      <c r="E13" s="16">
        <f t="shared" si="2"/>
        <v>0.001414934948</v>
      </c>
      <c r="F13" s="7" t="str">
        <f t="shared" si="3"/>
        <v>H1 diterima</v>
      </c>
      <c r="G13" s="7" t="str">
        <f t="shared" si="4"/>
        <v>Signifikan</v>
      </c>
      <c r="H13" s="3" t="str">
        <f t="shared" si="5"/>
        <v/>
      </c>
      <c r="J13" s="3" t="s">
        <v>36</v>
      </c>
      <c r="K13" s="9">
        <f t="array" ref="K13">INDEX(LINEST(Dataset!$I$2:$I$300,Dataset!$C$2:$H$300,TRUE(),TRUE()),3,2)</f>
        <v>1384406.116</v>
      </c>
    </row>
    <row r="14" ht="14.25" customHeight="1">
      <c r="A14" s="3" t="s">
        <v>45</v>
      </c>
      <c r="B14" s="14">
        <f t="array" ref="B14">INDEX(LINEST(Dataset!$I$2:$I$300,Dataset!$C$2:$H$300,TRUE(),TRUE()),1,4)</f>
        <v>64158.04723</v>
      </c>
      <c r="C14" s="14">
        <f t="array" ref="C14">INDEX(LINEST(Dataset!$I$2:$I$300,Dataset!$C$2:$H$300,TRUE(),TRUE()),2,4)</f>
        <v>14092.06659</v>
      </c>
      <c r="D14" s="15">
        <f t="shared" si="1"/>
        <v>4.55277775</v>
      </c>
      <c r="E14" s="16">
        <f t="shared" si="2"/>
        <v>0.000007780363958</v>
      </c>
      <c r="F14" s="7" t="str">
        <f t="shared" si="3"/>
        <v>H1 diterima</v>
      </c>
      <c r="G14" s="7" t="str">
        <f t="shared" si="4"/>
        <v>Signifikan</v>
      </c>
      <c r="H14" s="3" t="str">
        <f t="shared" si="5"/>
        <v/>
      </c>
      <c r="J14" s="3" t="s">
        <v>58</v>
      </c>
      <c r="K14" s="19">
        <f t="array" ref="K14">INDEX(LINEST(Dataset!$I$2:$I$300,Dataset!$C$2:$H$300,TRUE(),TRUE()),4,1)</f>
        <v>639.4747754</v>
      </c>
    </row>
    <row r="15" ht="14.25" customHeight="1">
      <c r="A15" s="3" t="s">
        <v>46</v>
      </c>
      <c r="B15" s="14">
        <f t="array" ref="B15">INDEX(LINEST(Dataset!$I$2:$I$300,Dataset!$C$2:$H$300,TRUE(),TRUE()),1,3)</f>
        <v>6286.982772</v>
      </c>
      <c r="C15" s="14">
        <f t="array" ref="C15">INDEX(LINEST(Dataset!$I$2:$I$300,Dataset!$C$2:$H$300,TRUE(),TRUE()),2,3)</f>
        <v>456.2684441</v>
      </c>
      <c r="D15" s="15">
        <f t="shared" si="1"/>
        <v>13.77913124</v>
      </c>
      <c r="E15" s="16">
        <f t="shared" si="2"/>
        <v>0</v>
      </c>
      <c r="F15" s="7" t="str">
        <f t="shared" si="3"/>
        <v>H1 diterima</v>
      </c>
      <c r="G15" s="7" t="str">
        <f t="shared" si="4"/>
        <v>Signifikan</v>
      </c>
      <c r="H15" s="3" t="str">
        <f t="shared" si="5"/>
        <v/>
      </c>
      <c r="J15" s="3" t="s">
        <v>59</v>
      </c>
      <c r="K15" s="20">
        <f>FDIST(K14,6,$M$11)</f>
        <v>0</v>
      </c>
    </row>
    <row r="16" ht="14.25" customHeight="1">
      <c r="A16" s="3" t="s">
        <v>47</v>
      </c>
      <c r="B16" s="14">
        <f t="array" ref="B16">INDEX(LINEST(Dataset!$I$2:$I$300,Dataset!$C$2:$H$300,TRUE(),TRUE()),1,2)</f>
        <v>133215.6971</v>
      </c>
      <c r="C16" s="14">
        <f t="array" ref="C16">INDEX(LINEST(Dataset!$I$2:$I$300,Dataset!$C$2:$H$300,TRUE(),TRUE()),2,2)</f>
        <v>13692.77277</v>
      </c>
      <c r="D16" s="15">
        <f t="shared" si="1"/>
        <v>9.728905847</v>
      </c>
      <c r="E16" s="16">
        <f t="shared" si="2"/>
        <v>0</v>
      </c>
      <c r="F16" s="7" t="str">
        <f t="shared" si="3"/>
        <v>H1 diterima</v>
      </c>
      <c r="G16" s="7" t="str">
        <f t="shared" si="4"/>
        <v>Signifikan</v>
      </c>
      <c r="H16" s="3" t="str">
        <f t="shared" si="5"/>
        <v/>
      </c>
      <c r="J16" s="3" t="s">
        <v>74</v>
      </c>
      <c r="K16" s="22">
        <f>299</f>
        <v>299</v>
      </c>
    </row>
    <row r="17" ht="14.25" customHeight="1">
      <c r="A17" s="3" t="s">
        <v>48</v>
      </c>
      <c r="B17" s="14">
        <f t="array" ref="B17">INDEX(LINEST(Dataset!$I$2:$I$300,Dataset!$C$2:$H$300,TRUE(),TRUE()),1,1)</f>
        <v>-50349.9385</v>
      </c>
      <c r="C17" s="14">
        <f t="array" ref="C17">INDEX(LINEST(Dataset!$I$2:$I$300,Dataset!$C$2:$H$300,TRUE(),TRUE()),2,1)</f>
        <v>6451.813391</v>
      </c>
      <c r="D17" s="15">
        <f t="shared" si="1"/>
        <v>-7.803997954</v>
      </c>
      <c r="E17" s="16">
        <f t="shared" si="2"/>
        <v>0</v>
      </c>
      <c r="F17" s="7" t="str">
        <f t="shared" si="3"/>
        <v>H1 diterima</v>
      </c>
      <c r="G17" s="7" t="str">
        <f t="shared" si="4"/>
        <v>Signifikan</v>
      </c>
      <c r="H17" s="3" t="str">
        <f t="shared" si="5"/>
        <v/>
      </c>
      <c r="J17" s="3" t="s">
        <v>78</v>
      </c>
      <c r="K17" s="22">
        <f>6</f>
        <v>6</v>
      </c>
    </row>
    <row r="18" ht="14.25" customHeight="1"/>
    <row r="19" ht="14.25" customHeight="1">
      <c r="A19" s="3" t="s">
        <v>79</v>
      </c>
    </row>
    <row r="20" ht="14.25" customHeight="1"/>
    <row r="21" ht="14.25" customHeight="1">
      <c r="A21" s="4" t="s">
        <v>80</v>
      </c>
    </row>
    <row r="22" ht="14.25" customHeight="1">
      <c r="A22" s="2"/>
      <c r="B22" s="2" t="s">
        <v>35</v>
      </c>
      <c r="C22" s="2" t="s">
        <v>36</v>
      </c>
      <c r="D22" s="2" t="s">
        <v>37</v>
      </c>
      <c r="E22" s="2" t="s">
        <v>38</v>
      </c>
      <c r="F22" s="2" t="s">
        <v>39</v>
      </c>
      <c r="G22" s="2" t="s">
        <v>40</v>
      </c>
      <c r="J22" s="2" t="s">
        <v>41</v>
      </c>
      <c r="K22" s="2" t="s">
        <v>42</v>
      </c>
      <c r="M22" s="3" t="s">
        <v>43</v>
      </c>
    </row>
    <row r="23" ht="14.25" customHeight="1">
      <c r="A23" s="3" t="s">
        <v>44</v>
      </c>
      <c r="B23" s="14">
        <f t="array" ref="B23">INDEX(LINEST(Dataset!$I$2:$I$300,Dataset!$D$2:$H$300,TRUE(),TRUE()),1,6)</f>
        <v>2590241.49</v>
      </c>
      <c r="C23" s="14">
        <f t="array" ref="C23">INDEX(LINEST(Dataset!$I$2:$I$300,Dataset!$D$2:$H$300,TRUE(),TRUE()),2,6)</f>
        <v>480680.5048</v>
      </c>
      <c r="D23" s="15">
        <f t="shared" ref="D23:D28" si="6">B23/C23</f>
        <v>5.388696784</v>
      </c>
      <c r="E23" s="16">
        <f t="shared" ref="E23:E28" si="7">TDIST(ABS(D23),$M$23,2)</f>
        <v>0.0000001460639003</v>
      </c>
      <c r="F23" s="7" t="str">
        <f t="shared" ref="F23:F28" si="8">IF(E23&lt;0.05,"H1 diterima","H0 diterima")</f>
        <v>H1 diterima</v>
      </c>
      <c r="G23" s="7" t="str">
        <f t="shared" ref="G23:G28" si="9">IF(E23&lt;0.05,"Signifikan","Tidak Signifikan")</f>
        <v>Signifikan</v>
      </c>
      <c r="J23" s="3" t="s">
        <v>53</v>
      </c>
      <c r="K23" s="16">
        <f t="array" ref="K23">INDEX(LINEST(Dataset!$I$2:$I$300,Dataset!$D$2:$H$300,TRUE(),TRUE()),3,1)</f>
        <v>0.9284701154</v>
      </c>
      <c r="M23" s="3">
        <f t="array" ref="M23">INDEX(LINEST(Dataset!$I$2:$I$300,Dataset!$D$2:$H$300,TRUE(),TRUE()),4,2)</f>
        <v>293</v>
      </c>
    </row>
    <row r="24" ht="14.25" customHeight="1">
      <c r="A24" s="3" t="s">
        <v>31</v>
      </c>
      <c r="B24" s="14">
        <f t="array" ref="B24">INDEX(LINEST(Dataset!$I$2:$I$300,Dataset!$D$2:$H$300,TRUE(),TRUE()),1,5)</f>
        <v>0.0368431741</v>
      </c>
      <c r="C24" s="14">
        <f t="array" ref="C24">INDEX(LINEST(Dataset!$I$2:$I$300,Dataset!$D$2:$H$300,TRUE(),TRUE()),2,5)</f>
        <v>0.01114748175</v>
      </c>
      <c r="D24" s="15">
        <f t="shared" si="6"/>
        <v>3.305067003</v>
      </c>
      <c r="E24" s="16">
        <f t="shared" si="7"/>
        <v>0.001067575037</v>
      </c>
      <c r="F24" s="7" t="str">
        <f t="shared" si="8"/>
        <v>H1 diterima</v>
      </c>
      <c r="G24" s="7" t="str">
        <f t="shared" si="9"/>
        <v>Signifikan</v>
      </c>
      <c r="H24" s="3" t="str">
        <f t="shared" ref="H24:H28" si="10">IF(AND(E24=MAX($E$24:$E$28),E24&gt;0.05),"P-value paling besar, variabel ini dikeluarkan","")</f>
        <v/>
      </c>
      <c r="J24" s="3" t="s">
        <v>57</v>
      </c>
      <c r="K24" s="16">
        <f>1-(1-K23)*(299-1)/(299-5-1)</f>
        <v>0.9272494689</v>
      </c>
    </row>
    <row r="25" ht="14.25" customHeight="1">
      <c r="A25" s="3" t="s">
        <v>45</v>
      </c>
      <c r="B25" s="14">
        <f t="array" ref="B25">INDEX(LINEST(Dataset!$I$2:$I$300,Dataset!$D$2:$H$300,TRUE(),TRUE()),1,4)</f>
        <v>64576.21329</v>
      </c>
      <c r="C25" s="14">
        <f t="array" ref="C25">INDEX(LINEST(Dataset!$I$2:$I$300,Dataset!$D$2:$H$300,TRUE(),TRUE()),2,4)</f>
        <v>14146.26528</v>
      </c>
      <c r="D25" s="15">
        <f t="shared" si="6"/>
        <v>4.564894832</v>
      </c>
      <c r="E25" s="16">
        <f t="shared" si="7"/>
        <v>0.000007363181818</v>
      </c>
      <c r="F25" s="7" t="str">
        <f t="shared" si="8"/>
        <v>H1 diterima</v>
      </c>
      <c r="G25" s="7" t="str">
        <f t="shared" si="9"/>
        <v>Signifikan</v>
      </c>
      <c r="H25" s="3" t="str">
        <f t="shared" si="10"/>
        <v/>
      </c>
      <c r="J25" s="3" t="s">
        <v>36</v>
      </c>
      <c r="K25" s="9">
        <f t="array" ref="K25">INDEX(LINEST(Dataset!$I$2:$I$300,Dataset!$D$2:$H$300,TRUE(),TRUE()),3,2)</f>
        <v>1389914.044</v>
      </c>
    </row>
    <row r="26" ht="14.25" customHeight="1">
      <c r="A26" s="3" t="s">
        <v>46</v>
      </c>
      <c r="B26" s="14">
        <f t="array" ref="B26">INDEX(LINEST(Dataset!$I$2:$I$300,Dataset!$D$2:$H$300,TRUE(),TRUE()),1,3)</f>
        <v>6341.901705</v>
      </c>
      <c r="C26" s="14">
        <f t="array" ref="C26">INDEX(LINEST(Dataset!$I$2:$I$300,Dataset!$D$2:$H$300,TRUE(),TRUE()),2,3)</f>
        <v>457.0879684</v>
      </c>
      <c r="D26" s="15">
        <f t="shared" si="6"/>
        <v>13.87457589</v>
      </c>
      <c r="E26" s="16">
        <f t="shared" si="7"/>
        <v>0</v>
      </c>
      <c r="F26" s="7" t="str">
        <f t="shared" si="8"/>
        <v>H1 diterima</v>
      </c>
      <c r="G26" s="7" t="str">
        <f t="shared" si="9"/>
        <v>Signifikan</v>
      </c>
      <c r="H26" s="3" t="str">
        <f t="shared" si="10"/>
        <v/>
      </c>
      <c r="J26" s="3" t="s">
        <v>58</v>
      </c>
      <c r="K26" s="19">
        <f t="array" ref="K26">INDEX(LINEST(Dataset!$I$2:$I$300,Dataset!$D$2:$H$300,TRUE(),TRUE()),4,1)</f>
        <v>760.6380056</v>
      </c>
    </row>
    <row r="27" ht="14.25" customHeight="1">
      <c r="A27" s="3" t="s">
        <v>47</v>
      </c>
      <c r="B27" s="14">
        <f t="array" ref="B27">INDEX(LINEST(Dataset!$I$2:$I$300,Dataset!$D$2:$H$300,TRUE(),TRUE()),1,2)</f>
        <v>136147.7235</v>
      </c>
      <c r="C27" s="14">
        <f t="array" ref="C27">INDEX(LINEST(Dataset!$I$2:$I$300,Dataset!$D$2:$H$300,TRUE(),TRUE()),2,2)</f>
        <v>13652.45109</v>
      </c>
      <c r="D27" s="15">
        <f t="shared" si="6"/>
        <v>9.972401481</v>
      </c>
      <c r="E27" s="16">
        <f t="shared" si="7"/>
        <v>0</v>
      </c>
      <c r="F27" s="7" t="str">
        <f t="shared" si="8"/>
        <v>H1 diterima</v>
      </c>
      <c r="G27" s="7" t="str">
        <f t="shared" si="9"/>
        <v>Signifikan</v>
      </c>
      <c r="H27" s="3" t="str">
        <f t="shared" si="10"/>
        <v/>
      </c>
      <c r="J27" s="3" t="s">
        <v>59</v>
      </c>
      <c r="K27" s="20">
        <f>FDIST(K26,5,$M$23)</f>
        <v>0</v>
      </c>
    </row>
    <row r="28" ht="14.25" customHeight="1">
      <c r="A28" s="3" t="s">
        <v>48</v>
      </c>
      <c r="B28" s="14">
        <f t="array" ref="B28">INDEX(LINEST(Dataset!$I$2:$I$300,Dataset!$D$2:$H$300,TRUE(),TRUE()),1,1)</f>
        <v>-49209.12635</v>
      </c>
      <c r="C28" s="14">
        <f t="array" ref="C28">INDEX(LINEST(Dataset!$I$2:$I$300,Dataset!$D$2:$H$300,TRUE(),TRUE()),2,1)</f>
        <v>6447.057484</v>
      </c>
      <c r="D28" s="15">
        <f t="shared" si="6"/>
        <v>-7.63280403</v>
      </c>
      <c r="E28" s="16">
        <f t="shared" si="7"/>
        <v>0</v>
      </c>
      <c r="F28" s="7" t="str">
        <f t="shared" si="8"/>
        <v>H1 diterima</v>
      </c>
      <c r="G28" s="7" t="str">
        <f t="shared" si="9"/>
        <v>Signifikan</v>
      </c>
      <c r="H28" s="3" t="str">
        <f t="shared" si="10"/>
        <v/>
      </c>
      <c r="J28" s="3" t="s">
        <v>74</v>
      </c>
      <c r="K28" s="22">
        <f>299</f>
        <v>299</v>
      </c>
    </row>
    <row r="29" ht="14.25" customHeight="1">
      <c r="J29" s="3" t="s">
        <v>78</v>
      </c>
      <c r="K29" s="22">
        <f>5</f>
        <v>5</v>
      </c>
    </row>
    <row r="30" ht="14.25" customHeight="1">
      <c r="A30" s="3" t="s">
        <v>92</v>
      </c>
    </row>
    <row r="31" ht="14.25" customHeight="1"/>
    <row r="32" ht="14.25" customHeight="1">
      <c r="A32" s="4" t="s">
        <v>93</v>
      </c>
    </row>
    <row r="33" ht="14.25" customHeight="1">
      <c r="A33" s="3" t="s">
        <v>94</v>
      </c>
    </row>
    <row r="34" ht="14.25" customHeight="1">
      <c r="A34" s="2" t="s">
        <v>95</v>
      </c>
      <c r="B34" s="2" t="s">
        <v>23</v>
      </c>
      <c r="C34" s="2" t="s">
        <v>25</v>
      </c>
      <c r="D34" s="2" t="s">
        <v>26</v>
      </c>
      <c r="E34" s="2" t="s">
        <v>27</v>
      </c>
      <c r="F34" s="2" t="s">
        <v>28</v>
      </c>
    </row>
    <row r="35" ht="14.25" customHeight="1">
      <c r="A35" s="3" t="s">
        <v>31</v>
      </c>
      <c r="B35" s="15">
        <f>CORREL(Dataset!$D$2:$D$300,Dataset!$D$2:$D$300)</f>
        <v>1</v>
      </c>
      <c r="C35" s="15">
        <f>CORREL(Dataset!$D$2:$D$300,Dataset!$E$2:$E$300)</f>
        <v>0.3789467125</v>
      </c>
      <c r="D35" s="15">
        <f>CORREL(Dataset!$D$2:$D$300,Dataset!$F$2:$F$300)</f>
        <v>0.4836920601</v>
      </c>
      <c r="E35" s="15">
        <f>CORREL(Dataset!$D$2:$D$300,Dataset!$G$2:$G$300)</f>
        <v>0.4456727121</v>
      </c>
      <c r="F35" s="15">
        <f>CORREL(Dataset!$D$2:$D$300,Dataset!$H$2:$H$300)</f>
        <v>-0.4483756005</v>
      </c>
    </row>
    <row r="36" ht="14.25" customHeight="1">
      <c r="A36" s="3" t="s">
        <v>45</v>
      </c>
      <c r="B36" s="15">
        <f>CORREL(Dataset!$E$2:$E$300,Dataset!$D$2:$D$300)</f>
        <v>0.3789467125</v>
      </c>
      <c r="C36" s="15">
        <f>CORREL(Dataset!$E$2:$E$300,Dataset!$E$2:$E$300)</f>
        <v>1</v>
      </c>
      <c r="D36" s="15">
        <f>CORREL(Dataset!$E$2:$E$300,Dataset!$F$2:$F$300)</f>
        <v>0.6853319563</v>
      </c>
      <c r="E36" s="15">
        <f>CORREL(Dataset!$E$2:$E$300,Dataset!$G$2:$G$300)</f>
        <v>0.6213744703</v>
      </c>
      <c r="F36" s="15">
        <f>CORREL(Dataset!$E$2:$E$300,Dataset!$H$2:$H$300)</f>
        <v>-0.5702766089</v>
      </c>
    </row>
    <row r="37" ht="14.25" customHeight="1">
      <c r="A37" s="3" t="s">
        <v>46</v>
      </c>
      <c r="B37" s="15">
        <f>CORREL(Dataset!$F$2:$F$300,Dataset!$D$2:$D$300)</f>
        <v>0.4836920601</v>
      </c>
      <c r="C37" s="15">
        <f>CORREL(Dataset!$F$2:$F$300,Dataset!$E$2:$E$300)</f>
        <v>0.6853319563</v>
      </c>
      <c r="D37" s="15">
        <f>CORREL(Dataset!$F$2:$F$300,Dataset!$F$2:$F$300)</f>
        <v>1</v>
      </c>
      <c r="E37" s="15">
        <f>CORREL(Dataset!$F$2:$F$300,Dataset!$G$2:$G$300)</f>
        <v>0.7768861588</v>
      </c>
      <c r="F37" s="15">
        <f>CORREL(Dataset!$F$2:$F$300,Dataset!$H$2:$H$300)</f>
        <v>-0.7873056093</v>
      </c>
    </row>
    <row r="38" ht="14.25" customHeight="1">
      <c r="A38" s="3" t="s">
        <v>47</v>
      </c>
      <c r="B38" s="15">
        <f>CORREL(Dataset!$G$2:$G$300,Dataset!$D$2:$D$300)</f>
        <v>0.4456727121</v>
      </c>
      <c r="C38" s="15">
        <f>CORREL(Dataset!$G$2:$G$300,Dataset!$E$2:$E$300)</f>
        <v>0.6213744703</v>
      </c>
      <c r="D38" s="15">
        <f>CORREL(Dataset!$G$2:$G$300,Dataset!$F$2:$F$300)</f>
        <v>0.7768861588</v>
      </c>
      <c r="E38" s="15">
        <f>CORREL(Dataset!$G$2:$G$300,Dataset!$G$2:$G$300)</f>
        <v>1</v>
      </c>
      <c r="F38" s="15">
        <f>CORREL(Dataset!$G$2:$G$300,Dataset!$H$2:$H$300)</f>
        <v>-0.7941434615</v>
      </c>
    </row>
    <row r="39" ht="14.25" customHeight="1">
      <c r="A39" s="3" t="s">
        <v>48</v>
      </c>
      <c r="B39" s="15">
        <f>CORREL(Dataset!$H$2:$H$300,Dataset!$D$2:$D$300)</f>
        <v>-0.4483756005</v>
      </c>
      <c r="C39" s="15">
        <f>CORREL(Dataset!$H$2:$H$300,Dataset!$E$2:$E$300)</f>
        <v>-0.5702766089</v>
      </c>
      <c r="D39" s="15">
        <f>CORREL(Dataset!$H$2:$H$300,Dataset!$F$2:$F$300)</f>
        <v>-0.7873056093</v>
      </c>
      <c r="E39" s="15">
        <f>CORREL(Dataset!$H$2:$H$300,Dataset!$G$2:$G$300)</f>
        <v>-0.7941434615</v>
      </c>
      <c r="F39" s="15">
        <f>CORREL(Dataset!$H$2:$H$300,Dataset!$H$2:$H$300)</f>
        <v>1</v>
      </c>
    </row>
    <row r="40" ht="14.25" customHeight="1"/>
    <row r="41" ht="14.25" customHeight="1">
      <c r="A41" s="3" t="s">
        <v>96</v>
      </c>
    </row>
    <row r="42" ht="14.25" customHeight="1"/>
    <row r="43" ht="14.25" customHeight="1">
      <c r="A43" s="3" t="s">
        <v>97</v>
      </c>
    </row>
    <row r="44" ht="14.25" customHeight="1">
      <c r="A44" s="2" t="s">
        <v>7</v>
      </c>
      <c r="B44" s="2" t="s">
        <v>98</v>
      </c>
      <c r="C44" s="2" t="s">
        <v>99</v>
      </c>
    </row>
    <row r="45" ht="14.25" customHeight="1">
      <c r="A45" s="3" t="s">
        <v>31</v>
      </c>
      <c r="B45" s="15">
        <f t="array" ref="B45">INDEX(MINVERSE($B$35:$F$39),1,1)</f>
        <v>1.338052543</v>
      </c>
      <c r="C45" s="7" t="str">
        <f t="shared" ref="C45:C49" si="11">IF(B45&gt;5,"Ada multikolinearitas","Aman")</f>
        <v>Aman</v>
      </c>
    </row>
    <row r="46" ht="14.25" customHeight="1">
      <c r="A46" s="3" t="s">
        <v>45</v>
      </c>
      <c r="B46" s="15">
        <f t="array" ref="B46">INDEX(MINVERSE($B$35:$F$39),2,2)</f>
        <v>1.966350454</v>
      </c>
      <c r="C46" s="7" t="str">
        <f t="shared" si="11"/>
        <v>Aman</v>
      </c>
    </row>
    <row r="47" ht="14.25" customHeight="1">
      <c r="A47" s="3" t="s">
        <v>46</v>
      </c>
      <c r="B47" s="15">
        <f t="array" ref="B47">INDEX(MINVERSE($B$35:$F$39),3,3)</f>
        <v>3.779470848</v>
      </c>
      <c r="C47" s="7" t="str">
        <f t="shared" si="11"/>
        <v>Aman</v>
      </c>
    </row>
    <row r="48" ht="14.25" customHeight="1">
      <c r="A48" s="3" t="s">
        <v>47</v>
      </c>
      <c r="B48" s="15">
        <f t="array" ref="B48">INDEX(MINVERSE($B$35:$F$39),4,4)</f>
        <v>3.366113648</v>
      </c>
      <c r="C48" s="7" t="str">
        <f t="shared" si="11"/>
        <v>Aman</v>
      </c>
    </row>
    <row r="49" ht="14.25" customHeight="1">
      <c r="A49" s="3" t="s">
        <v>48</v>
      </c>
      <c r="B49" s="15">
        <f t="array" ref="B49">INDEX(MINVERSE($B$35:$F$39),5,5)</f>
        <v>3.398934313</v>
      </c>
      <c r="C49" s="7" t="str">
        <f t="shared" si="11"/>
        <v>Aman</v>
      </c>
    </row>
    <row r="50" ht="14.25" customHeight="1"/>
    <row r="51" ht="14.25" customHeight="1">
      <c r="A51" s="3" t="s">
        <v>100</v>
      </c>
    </row>
    <row r="52" ht="14.25" customHeight="1"/>
    <row r="53" ht="14.25" customHeight="1">
      <c r="A53" s="4" t="s">
        <v>101</v>
      </c>
    </row>
    <row r="54" ht="14.25" customHeight="1">
      <c r="A54" s="3" t="s">
        <v>102</v>
      </c>
    </row>
    <row r="55" ht="14.25" customHeight="1">
      <c r="A55" s="23" t="str">
        <f>"Y = "&amp;TEXT(B23,"#,##0")&amp;" + "&amp;TEXT(B24,"0.0000")&amp;"*x2 + "&amp;TEXT(B25,"#,##0")&amp;"*x3 + "&amp;TEXT(B26,"#,##0")&amp;"*x4 + "&amp;TEXT(B27,"#,##0")&amp;"*x5 "&amp;TEXT(B28,"#,##0")&amp;"*x6"</f>
        <v>Y = 2,590,241 + 0.0368*x2 + 64,576*x3 + 6,342*x4 + 136,148*x5 -49,209*x6</v>
      </c>
    </row>
    <row r="56" ht="14.25" customHeight="1"/>
    <row r="57" ht="14.25" customHeight="1">
      <c r="A57" s="4" t="s">
        <v>103</v>
      </c>
    </row>
    <row r="58" ht="14.25" customHeight="1">
      <c r="A58" s="3" t="s">
        <v>104</v>
      </c>
    </row>
    <row r="59" ht="14.25" customHeight="1">
      <c r="A59" s="3" t="s">
        <v>105</v>
      </c>
    </row>
    <row r="60" ht="14.25" customHeight="1">
      <c r="A60" s="3" t="s">
        <v>106</v>
      </c>
    </row>
    <row r="61" ht="14.25" customHeight="1">
      <c r="A61" s="3" t="s">
        <v>107</v>
      </c>
    </row>
    <row r="62" ht="14.25" customHeight="1">
      <c r="A62" s="3" t="s">
        <v>108</v>
      </c>
    </row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A45:C49">
    <cfRule type="expression" dxfId="2" priority="1">
      <formula>$B45&gt;5</formula>
    </cfRule>
  </conditionalFormatting>
  <conditionalFormatting sqref="A45:C49">
    <cfRule type="expression" dxfId="1" priority="2">
      <formula>$B45&lt;=5</formula>
    </cfRule>
  </conditionalFormatting>
  <conditionalFormatting sqref="A11:G17">
    <cfRule type="expression" dxfId="3" priority="3">
      <formula>AND($E11=MAX($E$12:$E$17),$E11&gt;0.05)</formula>
    </cfRule>
  </conditionalFormatting>
  <conditionalFormatting sqref="A11:G17">
    <cfRule type="expression" dxfId="2" priority="4">
      <formula>$E11&gt;0.05</formula>
    </cfRule>
  </conditionalFormatting>
  <conditionalFormatting sqref="A11:G17">
    <cfRule type="expression" dxfId="1" priority="5">
      <formula>$E11&lt;=0.05</formula>
    </cfRule>
  </conditionalFormatting>
  <conditionalFormatting sqref="A23:G28">
    <cfRule type="expression" dxfId="3" priority="6">
      <formula>AND($E23=MAX($E$24:$E$28),$E23&gt;0.05)</formula>
    </cfRule>
  </conditionalFormatting>
  <conditionalFormatting sqref="A23:G28">
    <cfRule type="expression" dxfId="2" priority="7">
      <formula>$E23&gt;0.05</formula>
    </cfRule>
  </conditionalFormatting>
  <conditionalFormatting sqref="A23:G28">
    <cfRule type="expression" dxfId="1" priority="8">
      <formula>$E23&lt;=0.05</formula>
    </cfRule>
  </conditionalFormatting>
  <conditionalFormatting sqref="B35:F39">
    <cfRule type="expression" dxfId="0" priority="9">
      <formula>ABS(B35)=1</formula>
    </cfRule>
  </conditionalFormatting>
  <conditionalFormatting sqref="B35:F39">
    <cfRule type="expression" dxfId="3" priority="10">
      <formula>ABS(B35)&gt;0.8</formula>
    </cfRule>
  </conditionalFormatting>
  <conditionalFormatting sqref="B35:F39">
    <cfRule type="expression" dxfId="1" priority="11">
      <formula>ABS(B35)&lt;=0.8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22.0"/>
    <col customWidth="1" min="3" max="3" width="30.0"/>
    <col customWidth="1" min="4" max="4" width="22.0"/>
    <col customWidth="1" min="5" max="26" width="8.71"/>
  </cols>
  <sheetData>
    <row r="1" ht="14.25" customHeight="1">
      <c r="A1" s="1" t="s">
        <v>0</v>
      </c>
    </row>
    <row r="2" ht="14.25" customHeight="1">
      <c r="A2" s="3" t="s">
        <v>2</v>
      </c>
    </row>
    <row r="3" ht="14.25" customHeight="1"/>
    <row r="4" ht="14.25" customHeight="1">
      <c r="A4" s="2" t="s">
        <v>7</v>
      </c>
      <c r="B4" s="2" t="s">
        <v>8</v>
      </c>
      <c r="C4" s="2" t="s">
        <v>9</v>
      </c>
      <c r="D4" s="2" t="s">
        <v>11</v>
      </c>
    </row>
    <row r="5" ht="14.25" customHeight="1">
      <c r="A5" s="3" t="s">
        <v>13</v>
      </c>
      <c r="B5" s="5">
        <v>20.0</v>
      </c>
      <c r="C5" s="7" t="s">
        <v>24</v>
      </c>
      <c r="D5" s="9">
        <v>0.0</v>
      </c>
    </row>
    <row r="6" ht="14.25" customHeight="1">
      <c r="A6" s="3" t="s">
        <v>31</v>
      </c>
      <c r="B6" s="5">
        <v>2.0E7</v>
      </c>
      <c r="C6" s="14">
        <f>'2. Iterasi Model'!B24</f>
        <v>0.0368431741</v>
      </c>
      <c r="D6" s="9">
        <f t="shared" ref="D6:D10" si="1">B6*C6</f>
        <v>736863.4821</v>
      </c>
    </row>
    <row r="7" ht="14.25" customHeight="1">
      <c r="A7" s="3" t="s">
        <v>45</v>
      </c>
      <c r="B7" s="5">
        <v>1.0</v>
      </c>
      <c r="C7" s="14">
        <f>'2. Iterasi Model'!B25</f>
        <v>64576.21329</v>
      </c>
      <c r="D7" s="9">
        <f t="shared" si="1"/>
        <v>64576.21329</v>
      </c>
    </row>
    <row r="8" ht="14.25" customHeight="1">
      <c r="A8" s="3" t="s">
        <v>46</v>
      </c>
      <c r="B8" s="5">
        <v>1000.0</v>
      </c>
      <c r="C8" s="14">
        <f>'2. Iterasi Model'!B26</f>
        <v>6341.901705</v>
      </c>
      <c r="D8" s="9">
        <f t="shared" si="1"/>
        <v>6341901.705</v>
      </c>
    </row>
    <row r="9" ht="14.25" customHeight="1">
      <c r="A9" s="3" t="s">
        <v>47</v>
      </c>
      <c r="B9" s="5">
        <v>20.0</v>
      </c>
      <c r="C9" s="14">
        <f>'2. Iterasi Model'!B27</f>
        <v>136147.7235</v>
      </c>
      <c r="D9" s="9">
        <f t="shared" si="1"/>
        <v>2722954.47</v>
      </c>
    </row>
    <row r="10" ht="14.25" customHeight="1">
      <c r="A10" s="3" t="s">
        <v>48</v>
      </c>
      <c r="B10" s="5">
        <v>30.0</v>
      </c>
      <c r="C10" s="14">
        <f>'2. Iterasi Model'!B28</f>
        <v>-49209.12635</v>
      </c>
      <c r="D10" s="9">
        <f t="shared" si="1"/>
        <v>-1476273.791</v>
      </c>
    </row>
    <row r="11" ht="14.25" customHeight="1">
      <c r="A11" s="3" t="s">
        <v>49</v>
      </c>
      <c r="C11" s="14">
        <f>'2. Iterasi Model'!B23</f>
        <v>2590241.49</v>
      </c>
      <c r="D11" s="9">
        <f>C11</f>
        <v>2590241.49</v>
      </c>
    </row>
    <row r="12" ht="14.25" customHeight="1"/>
    <row r="13" ht="14.25" customHeight="1">
      <c r="A13" s="4" t="s">
        <v>50</v>
      </c>
      <c r="D13" s="17">
        <f>SUM(D5:D11)</f>
        <v>10980263.57</v>
      </c>
    </row>
    <row r="14" ht="14.25" customHeight="1"/>
    <row r="15" ht="14.25" customHeight="1">
      <c r="A15" s="3" t="s">
        <v>51</v>
      </c>
      <c r="D15" s="18">
        <f>AVERAGE(Dataset!$I$2:$I$300)</f>
        <v>9700334.448</v>
      </c>
    </row>
    <row r="16" ht="14.25" customHeight="1">
      <c r="A16" s="3" t="s">
        <v>52</v>
      </c>
      <c r="D16" s="18">
        <f>D13-D15</f>
        <v>1279929.122</v>
      </c>
    </row>
    <row r="17" ht="14.25" customHeight="1"/>
    <row r="18" ht="14.25" customHeight="1">
      <c r="A18" s="3" t="s">
        <v>54</v>
      </c>
    </row>
    <row r="19" ht="14.25" customHeight="1">
      <c r="A19" s="3" t="s">
        <v>55</v>
      </c>
    </row>
    <row r="20" ht="14.25" customHeight="1">
      <c r="A20" s="3" t="s">
        <v>56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15.0"/>
    <col customWidth="1" min="3" max="26" width="8.71"/>
  </cols>
  <sheetData>
    <row r="1" ht="14.25" customHeight="1">
      <c r="A1" s="1" t="s">
        <v>60</v>
      </c>
    </row>
    <row r="2" ht="14.25" customHeight="1"/>
    <row r="3" ht="30.0" customHeight="1">
      <c r="A3" s="4" t="s">
        <v>61</v>
      </c>
      <c r="B3" s="21"/>
    </row>
    <row r="4" ht="30.0" customHeight="1">
      <c r="A4" s="3">
        <v>1.0</v>
      </c>
      <c r="B4" s="21" t="s">
        <v>62</v>
      </c>
    </row>
    <row r="5" ht="30.0" customHeight="1">
      <c r="A5" s="3">
        <v>2.0</v>
      </c>
      <c r="B5" s="21" t="s">
        <v>63</v>
      </c>
    </row>
    <row r="6" ht="30.0" customHeight="1">
      <c r="A6" s="3">
        <v>3.0</v>
      </c>
      <c r="B6" s="21" t="s">
        <v>64</v>
      </c>
    </row>
    <row r="7" ht="30.0" customHeight="1">
      <c r="A7" s="3">
        <v>4.0</v>
      </c>
      <c r="B7" s="21" t="s">
        <v>65</v>
      </c>
    </row>
    <row r="8" ht="30.0" customHeight="1">
      <c r="A8" s="3">
        <v>5.0</v>
      </c>
      <c r="B8" s="21" t="s">
        <v>66</v>
      </c>
    </row>
    <row r="9" ht="30.0" customHeight="1">
      <c r="A9" s="4"/>
      <c r="B9" s="21"/>
    </row>
    <row r="10" ht="30.0" customHeight="1">
      <c r="A10" s="4" t="s">
        <v>67</v>
      </c>
      <c r="B10" s="21"/>
    </row>
    <row r="11" ht="30.0" customHeight="1">
      <c r="A11" s="3">
        <v>1.0</v>
      </c>
      <c r="B11" s="21" t="s">
        <v>68</v>
      </c>
    </row>
    <row r="12" ht="30.0" customHeight="1">
      <c r="A12" s="3">
        <v>2.0</v>
      </c>
      <c r="B12" s="21" t="s">
        <v>69</v>
      </c>
    </row>
    <row r="13" ht="30.0" customHeight="1">
      <c r="A13" s="3">
        <v>3.0</v>
      </c>
      <c r="B13" s="21" t="s">
        <v>70</v>
      </c>
    </row>
    <row r="14" ht="30.0" customHeight="1">
      <c r="A14" s="3">
        <v>4.0</v>
      </c>
      <c r="B14" s="21" t="s">
        <v>71</v>
      </c>
    </row>
    <row r="15" ht="30.0" customHeight="1">
      <c r="A15" s="3">
        <v>5.0</v>
      </c>
      <c r="B15" s="21" t="s">
        <v>72</v>
      </c>
    </row>
    <row r="16" ht="30.0" customHeight="1">
      <c r="A16" s="3">
        <v>6.0</v>
      </c>
      <c r="B16" s="21" t="s">
        <v>73</v>
      </c>
    </row>
    <row r="17" ht="30.0" customHeight="1">
      <c r="A17" s="4"/>
      <c r="B17" s="21"/>
    </row>
    <row r="18" ht="30.0" customHeight="1">
      <c r="A18" s="4" t="s">
        <v>75</v>
      </c>
      <c r="B18" s="21" t="s">
        <v>76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